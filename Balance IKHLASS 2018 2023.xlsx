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0EC8DD7-30BC-425F-82F9-5EE57F5EA87A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2018" sheetId="6" r:id="rId1"/>
    <sheet name="2019" sheetId="1" r:id="rId2"/>
    <sheet name="2020" sheetId="2" r:id="rId3"/>
    <sheet name="2021" sheetId="3" r:id="rId4"/>
    <sheet name="2022" sheetId="4" r:id="rId5"/>
    <sheet name="2023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2" i="2" l="1"/>
  <c r="E42" i="2"/>
  <c r="D64" i="2" s="1"/>
  <c r="D56" i="5"/>
  <c r="D24" i="6"/>
  <c r="E24" i="6"/>
  <c r="F24" i="6"/>
  <c r="G24" i="6"/>
  <c r="H24" i="6"/>
  <c r="C24" i="6"/>
  <c r="D20" i="6"/>
  <c r="E20" i="6"/>
  <c r="F20" i="6"/>
  <c r="G20" i="6"/>
  <c r="H20" i="6"/>
  <c r="C20" i="6"/>
  <c r="D15" i="6"/>
  <c r="E15" i="6"/>
  <c r="F15" i="6"/>
  <c r="G15" i="6"/>
  <c r="H15" i="6"/>
  <c r="C15" i="6"/>
  <c r="D11" i="6"/>
  <c r="E11" i="6"/>
  <c r="F11" i="6"/>
  <c r="G11" i="6"/>
  <c r="H11" i="6"/>
  <c r="C11" i="6"/>
  <c r="D8" i="6"/>
  <c r="E8" i="6"/>
  <c r="F8" i="6"/>
  <c r="G8" i="6"/>
  <c r="H8" i="6"/>
  <c r="C8" i="6"/>
  <c r="D4" i="6"/>
  <c r="E4" i="6"/>
  <c r="F4" i="6"/>
  <c r="G4" i="6"/>
  <c r="H4" i="6"/>
  <c r="C4" i="6"/>
  <c r="D53" i="5"/>
  <c r="E53" i="5"/>
  <c r="F53" i="5"/>
  <c r="D57" i="5" s="1"/>
  <c r="G53" i="5"/>
  <c r="H53" i="5"/>
  <c r="C53" i="5"/>
  <c r="D42" i="5"/>
  <c r="E42" i="5"/>
  <c r="F42" i="5"/>
  <c r="G42" i="5"/>
  <c r="H42" i="5"/>
  <c r="C42" i="5"/>
  <c r="D35" i="5"/>
  <c r="E35" i="5"/>
  <c r="F35" i="5"/>
  <c r="G35" i="5"/>
  <c r="H35" i="5"/>
  <c r="C35" i="5"/>
  <c r="D17" i="5"/>
  <c r="E17" i="5"/>
  <c r="F17" i="5"/>
  <c r="G17" i="5"/>
  <c r="H17" i="5"/>
  <c r="C17" i="5"/>
  <c r="D12" i="5"/>
  <c r="E12" i="5"/>
  <c r="F12" i="5"/>
  <c r="G12" i="5"/>
  <c r="H12" i="5"/>
  <c r="C12" i="5"/>
  <c r="D7" i="5"/>
  <c r="E7" i="5"/>
  <c r="F7" i="5"/>
  <c r="G7" i="5"/>
  <c r="H7" i="5"/>
  <c r="C7" i="5"/>
  <c r="D3" i="5"/>
  <c r="E3" i="5"/>
  <c r="E56" i="5" s="1"/>
  <c r="F3" i="5"/>
  <c r="F56" i="5" s="1"/>
  <c r="G3" i="5"/>
  <c r="G56" i="5" s="1"/>
  <c r="H3" i="5"/>
  <c r="H56" i="5" s="1"/>
  <c r="C3" i="5"/>
  <c r="C56" i="5" s="1"/>
  <c r="C52" i="4"/>
  <c r="D50" i="4"/>
  <c r="E50" i="4"/>
  <c r="F50" i="4"/>
  <c r="E53" i="4" s="1"/>
  <c r="G50" i="4"/>
  <c r="H50" i="4"/>
  <c r="C50" i="4"/>
  <c r="D38" i="4"/>
  <c r="E38" i="4"/>
  <c r="F38" i="4"/>
  <c r="G38" i="4"/>
  <c r="H38" i="4"/>
  <c r="C38" i="4"/>
  <c r="D31" i="4"/>
  <c r="E31" i="4"/>
  <c r="F31" i="4"/>
  <c r="G31" i="4"/>
  <c r="H31" i="4"/>
  <c r="C31" i="4"/>
  <c r="D16" i="4"/>
  <c r="E16" i="4"/>
  <c r="F16" i="4"/>
  <c r="G16" i="4"/>
  <c r="H16" i="4"/>
  <c r="C16" i="4"/>
  <c r="D12" i="4"/>
  <c r="E12" i="4"/>
  <c r="F12" i="4"/>
  <c r="G12" i="4"/>
  <c r="H12" i="4"/>
  <c r="C12" i="4"/>
  <c r="D7" i="4"/>
  <c r="E7" i="4"/>
  <c r="F7" i="4"/>
  <c r="G7" i="4"/>
  <c r="H7" i="4"/>
  <c r="C7" i="4"/>
  <c r="D3" i="4"/>
  <c r="D52" i="4" s="1"/>
  <c r="E3" i="4"/>
  <c r="E52" i="4" s="1"/>
  <c r="F3" i="4"/>
  <c r="F52" i="4" s="1"/>
  <c r="G3" i="4"/>
  <c r="G52" i="4" s="1"/>
  <c r="H3" i="4"/>
  <c r="H52" i="4" s="1"/>
  <c r="C3" i="4"/>
  <c r="G34" i="3"/>
  <c r="D45" i="3"/>
  <c r="E45" i="3"/>
  <c r="F45" i="3"/>
  <c r="E48" i="3" s="1"/>
  <c r="G45" i="3"/>
  <c r="H45" i="3"/>
  <c r="C45" i="3"/>
  <c r="D34" i="3"/>
  <c r="D47" i="3" s="1"/>
  <c r="E34" i="3"/>
  <c r="F34" i="3"/>
  <c r="H34" i="3"/>
  <c r="C34" i="3"/>
  <c r="D28" i="3"/>
  <c r="E28" i="3"/>
  <c r="F28" i="3"/>
  <c r="G28" i="3"/>
  <c r="H28" i="3"/>
  <c r="C28" i="3"/>
  <c r="D15" i="3"/>
  <c r="E15" i="3"/>
  <c r="F15" i="3"/>
  <c r="G15" i="3"/>
  <c r="H15" i="3"/>
  <c r="C15" i="3"/>
  <c r="D12" i="3"/>
  <c r="E12" i="3"/>
  <c r="F12" i="3"/>
  <c r="G12" i="3"/>
  <c r="H12" i="3"/>
  <c r="C12" i="3"/>
  <c r="D7" i="3"/>
  <c r="E7" i="3"/>
  <c r="F7" i="3"/>
  <c r="G7" i="3"/>
  <c r="H7" i="3"/>
  <c r="H47" i="3" s="1"/>
  <c r="C7" i="3"/>
  <c r="D3" i="3"/>
  <c r="E3" i="3"/>
  <c r="F3" i="3"/>
  <c r="G3" i="3"/>
  <c r="H3" i="3"/>
  <c r="C3" i="3"/>
  <c r="C47" i="3" s="1"/>
  <c r="G63" i="2"/>
  <c r="D61" i="2"/>
  <c r="E61" i="2"/>
  <c r="F61" i="2"/>
  <c r="G61" i="2"/>
  <c r="H61" i="2"/>
  <c r="C61" i="2"/>
  <c r="D42" i="2"/>
  <c r="F42" i="2"/>
  <c r="H42" i="2"/>
  <c r="C42" i="2"/>
  <c r="D36" i="2"/>
  <c r="E36" i="2"/>
  <c r="F36" i="2"/>
  <c r="G36" i="2"/>
  <c r="H36" i="2"/>
  <c r="C36" i="2"/>
  <c r="D15" i="2"/>
  <c r="E15" i="2"/>
  <c r="F15" i="2"/>
  <c r="G15" i="2"/>
  <c r="H15" i="2"/>
  <c r="C15" i="2"/>
  <c r="D12" i="2"/>
  <c r="E12" i="2"/>
  <c r="F12" i="2"/>
  <c r="G12" i="2"/>
  <c r="H12" i="2"/>
  <c r="C12" i="2"/>
  <c r="D7" i="2"/>
  <c r="E7" i="2"/>
  <c r="F7" i="2"/>
  <c r="G7" i="2"/>
  <c r="H7" i="2"/>
  <c r="C7" i="2"/>
  <c r="D3" i="2"/>
  <c r="D63" i="2" s="1"/>
  <c r="E3" i="2"/>
  <c r="F3" i="2"/>
  <c r="F63" i="2" s="1"/>
  <c r="G3" i="2"/>
  <c r="H3" i="2"/>
  <c r="H63" i="2" s="1"/>
  <c r="C3" i="2"/>
  <c r="C63" i="2" s="1"/>
  <c r="G23" i="1"/>
  <c r="H23" i="1"/>
  <c r="F23" i="1"/>
  <c r="D27" i="1" s="1"/>
  <c r="F19" i="1"/>
  <c r="G19" i="1"/>
  <c r="H19" i="1"/>
  <c r="E19" i="1"/>
  <c r="D15" i="1"/>
  <c r="E15" i="1"/>
  <c r="F15" i="1"/>
  <c r="G15" i="1"/>
  <c r="H15" i="1"/>
  <c r="C15" i="1"/>
  <c r="F11" i="1"/>
  <c r="G11" i="1"/>
  <c r="H11" i="1"/>
  <c r="E11" i="1"/>
  <c r="D8" i="1"/>
  <c r="E8" i="1"/>
  <c r="F8" i="1"/>
  <c r="G8" i="1"/>
  <c r="H8" i="1"/>
  <c r="C8" i="1"/>
  <c r="H3" i="1"/>
  <c r="H26" i="1" s="1"/>
  <c r="D3" i="1"/>
  <c r="D26" i="1" s="1"/>
  <c r="E3" i="1"/>
  <c r="E26" i="1" s="1"/>
  <c r="F3" i="1"/>
  <c r="F26" i="1" s="1"/>
  <c r="G3" i="1"/>
  <c r="G26" i="1" s="1"/>
  <c r="C3" i="1"/>
  <c r="C26" i="1" s="1"/>
  <c r="E63" i="2" l="1"/>
  <c r="E27" i="6"/>
  <c r="D27" i="6"/>
  <c r="G27" i="6"/>
  <c r="C27" i="6"/>
  <c r="E28" i="6"/>
  <c r="F27" i="6"/>
  <c r="H27" i="6"/>
  <c r="E47" i="3"/>
  <c r="G47" i="3"/>
  <c r="F47" i="3"/>
</calcChain>
</file>

<file path=xl/sharedStrings.xml><?xml version="1.0" encoding="utf-8"?>
<sst xmlns="http://schemas.openxmlformats.org/spreadsheetml/2006/main" count="569" uniqueCount="214">
  <si>
    <t>COOPERATIVE AL IKHLASS - Balance jusqu'à décembre 2019</t>
  </si>
  <si>
    <t>Compte</t>
  </si>
  <si>
    <t>Intitulé</t>
  </si>
  <si>
    <t>Report à nouveau
Débit</t>
  </si>
  <si>
    <t>Report à nouveau
Crédit</t>
  </si>
  <si>
    <t>Mouvements de la période
Débit</t>
  </si>
  <si>
    <t>Mouvements de la période
Crédit</t>
  </si>
  <si>
    <t>Solde
Débit</t>
  </si>
  <si>
    <t>Solde
Crédit</t>
  </si>
  <si>
    <t>1</t>
  </si>
  <si>
    <t>COMPTES DE FIN. PERMANENT</t>
  </si>
  <si>
    <t>111100000000</t>
  </si>
  <si>
    <t>CAPITAL DE LA COOPERATIVE</t>
  </si>
  <si>
    <t>116900000000</t>
  </si>
  <si>
    <t>REPORT A NOUVEAU (sur déficits)</t>
  </si>
  <si>
    <t>118100000000</t>
  </si>
  <si>
    <t>RESUL.NETS INST SOLDE CRE</t>
  </si>
  <si>
    <t>118900000000</t>
  </si>
  <si>
    <t>RESULTATS NETS EN INS.S.D DEFICITS</t>
  </si>
  <si>
    <t>3</t>
  </si>
  <si>
    <t>COMPTES D'ACTIF CIRCULANT</t>
  </si>
  <si>
    <t>313000000000</t>
  </si>
  <si>
    <t>PRODUITS EN COURS</t>
  </si>
  <si>
    <t>341100000000</t>
  </si>
  <si>
    <t>FOR.AV.AC.VER.D'EX.CO.EXP</t>
  </si>
  <si>
    <t>4</t>
  </si>
  <si>
    <t>COMPTES PASS CIRCUL H.T</t>
  </si>
  <si>
    <t>441101010000</t>
  </si>
  <si>
    <t>FOURNISSEUR TERRAINS</t>
  </si>
  <si>
    <t>441102000000</t>
  </si>
  <si>
    <t>MAITRE ALI OU -YACOUB</t>
  </si>
  <si>
    <t>445700000000</t>
  </si>
  <si>
    <t>ETAT IMPOTS ET TAXES A PAY</t>
  </si>
  <si>
    <t>5</t>
  </si>
  <si>
    <t>COMPTES DE TRESORERIE</t>
  </si>
  <si>
    <t>514100000000</t>
  </si>
  <si>
    <t>BANQUES SOLDE DEBITEUR</t>
  </si>
  <si>
    <t>514101000000</t>
  </si>
  <si>
    <t>BANQUE POPULAIRE</t>
  </si>
  <si>
    <t>514102000000</t>
  </si>
  <si>
    <t>BP</t>
  </si>
  <si>
    <t>6</t>
  </si>
  <si>
    <t>COMPTES DE CHARGES</t>
  </si>
  <si>
    <t>612110000000</t>
  </si>
  <si>
    <t>ACHATS DE MATIERES PREM A</t>
  </si>
  <si>
    <t>614730000000</t>
  </si>
  <si>
    <t>FRAIS ET COMMISS SERVIC</t>
  </si>
  <si>
    <t>616700000000</t>
  </si>
  <si>
    <t>IMP, TAXES ET DR ASS D'ENR</t>
  </si>
  <si>
    <t>7</t>
  </si>
  <si>
    <t>COMPTES DE PRODUITS</t>
  </si>
  <si>
    <t>713100000000</t>
  </si>
  <si>
    <t>VARIATOSTOC PROD EN COURS</t>
  </si>
  <si>
    <t>758000000000</t>
  </si>
  <si>
    <t>AUTRES PRODUITS NON COURA</t>
  </si>
  <si>
    <t>TOTAL</t>
  </si>
  <si>
    <t>COOPERATIVE AL IKHLASS - Balance jusqu'à décembre 2020</t>
  </si>
  <si>
    <t>2</t>
  </si>
  <si>
    <t>COMPTES D'ACTIF IMMOBILIS</t>
  </si>
  <si>
    <t>233100000000</t>
  </si>
  <si>
    <t>INSTALLATIONS TECHNIQUES</t>
  </si>
  <si>
    <t>233210000000</t>
  </si>
  <si>
    <t>MATERIEL</t>
  </si>
  <si>
    <t>283310000000</t>
  </si>
  <si>
    <t>AMORT. DES INST. TECHNIQU</t>
  </si>
  <si>
    <t>283320000000</t>
  </si>
  <si>
    <t>AMORT. DU MATERIEL ET OUTI</t>
  </si>
  <si>
    <t>313110000000</t>
  </si>
  <si>
    <t>PROJET JARDIN TARGA</t>
  </si>
  <si>
    <t>441101000000</t>
  </si>
  <si>
    <t>441101020000</t>
  </si>
  <si>
    <t>AGENCE URBAINE DE MARRAKECH</t>
  </si>
  <si>
    <t>441101100000</t>
  </si>
  <si>
    <t>STE GEMA IRRIGATION MAGHREB</t>
  </si>
  <si>
    <t>441101200000</t>
  </si>
  <si>
    <t>MS MAINTENANCE</t>
  </si>
  <si>
    <t>441101300000</t>
  </si>
  <si>
    <t>ISTIRAHA STATION</t>
  </si>
  <si>
    <t>441101400000</t>
  </si>
  <si>
    <t>PREFA BLOC</t>
  </si>
  <si>
    <t>441101500000</t>
  </si>
  <si>
    <t>LC.BTP</t>
  </si>
  <si>
    <t>441101600000</t>
  </si>
  <si>
    <t>BELHOUARI ARCHETECTURE AGENCY</t>
  </si>
  <si>
    <t>441101700000</t>
  </si>
  <si>
    <t>EUROCONST</t>
  </si>
  <si>
    <t>441101800000</t>
  </si>
  <si>
    <t>STE YASSELECTRO</t>
  </si>
  <si>
    <t>441101900000</t>
  </si>
  <si>
    <t>KIRALMA</t>
  </si>
  <si>
    <t>441102100000</t>
  </si>
  <si>
    <t>EVENT PRINT</t>
  </si>
  <si>
    <t>441102300000</t>
  </si>
  <si>
    <t>ONEE</t>
  </si>
  <si>
    <t>441104000000</t>
  </si>
  <si>
    <t>IMPRIMERIE SEMLALIA</t>
  </si>
  <si>
    <t>441105000000</t>
  </si>
  <si>
    <t>MARJANE</t>
  </si>
  <si>
    <t>441106000000</t>
  </si>
  <si>
    <t>HELLO PRINT</t>
  </si>
  <si>
    <t>441107000000</t>
  </si>
  <si>
    <t>TECHNO EDITION</t>
  </si>
  <si>
    <t>441108000000</t>
  </si>
  <si>
    <t>MAROC.TELECOM</t>
  </si>
  <si>
    <t>441109000000</t>
  </si>
  <si>
    <t>LIB PAP SIJILMASSA</t>
  </si>
  <si>
    <t>511500000000</t>
  </si>
  <si>
    <t>VIREMENTS DE FONDS</t>
  </si>
  <si>
    <t>516110000000</t>
  </si>
  <si>
    <t>CAISSE CENTRALE</t>
  </si>
  <si>
    <t>612210000000</t>
  </si>
  <si>
    <t>ACHATS DE MAT ET FOURN A</t>
  </si>
  <si>
    <t>612270000000</t>
  </si>
  <si>
    <t>ACHATS DE FOUR DE BUREAU</t>
  </si>
  <si>
    <t>612510000000</t>
  </si>
  <si>
    <t>ACH DE FOU NON ST EA EL</t>
  </si>
  <si>
    <t>612530000000</t>
  </si>
  <si>
    <t>ACH PETIT OUT ET PETIT EQU</t>
  </si>
  <si>
    <t>612610000000</t>
  </si>
  <si>
    <t>ACHAT DES TRAVAUX</t>
  </si>
  <si>
    <t>612630000000</t>
  </si>
  <si>
    <t>ACHAT PRESTATIONS DE SERV</t>
  </si>
  <si>
    <t>612800000000</t>
  </si>
  <si>
    <t>ACH. MAT. ET FOUR. EX. ANTE</t>
  </si>
  <si>
    <t>613130000000</t>
  </si>
  <si>
    <t>LOCATIONS DE MAT ET OUTILS</t>
  </si>
  <si>
    <t>613300000000</t>
  </si>
  <si>
    <t>ENTRETIEN ET REPARATIONS</t>
  </si>
  <si>
    <t>614250000000</t>
  </si>
  <si>
    <t>TRANSPORTS SUR ACHATS</t>
  </si>
  <si>
    <t>614300000000</t>
  </si>
  <si>
    <t>DEPLA MISSIONS ET RECEPTI</t>
  </si>
  <si>
    <t>614550000000</t>
  </si>
  <si>
    <t>FRAIS DE TELEPHONE</t>
  </si>
  <si>
    <t>616000000000</t>
  </si>
  <si>
    <t>IMPOTS ET TAXES</t>
  </si>
  <si>
    <t>616110000000</t>
  </si>
  <si>
    <t>TAXES URB ET TAXE D'EDILIT</t>
  </si>
  <si>
    <t>616150000000</t>
  </si>
  <si>
    <t>TAXES LOCALES</t>
  </si>
  <si>
    <t>616710000000</t>
  </si>
  <si>
    <t>DR D'ENREG ET DE TIMBRE</t>
  </si>
  <si>
    <t>619330000000</t>
  </si>
  <si>
    <t>D.E.A DES INST TECH MA ET OU</t>
  </si>
  <si>
    <t>713110000000</t>
  </si>
  <si>
    <t>VARIATOSTOC BIEN PROD COU</t>
  </si>
  <si>
    <t>COOPERATIVE AL IKHLASS - Balance jusqu'à décembre 2021</t>
  </si>
  <si>
    <t>313410000000</t>
  </si>
  <si>
    <t>TRAVAUX EN COURS</t>
  </si>
  <si>
    <t>441102200000</t>
  </si>
  <si>
    <t>VERCO VERITE CONTROLE</t>
  </si>
  <si>
    <t>441102400000</t>
  </si>
  <si>
    <t>SCHINDLER</t>
  </si>
  <si>
    <t>441103100000</t>
  </si>
  <si>
    <t>POSTE MAROC</t>
  </si>
  <si>
    <t>441103400000</t>
  </si>
  <si>
    <t>SAHASOU</t>
  </si>
  <si>
    <t>MAROC TELECOM</t>
  </si>
  <si>
    <t>612230000000</t>
  </si>
  <si>
    <t>ACHATS DE COMBUSTIBLES</t>
  </si>
  <si>
    <t>614510000000</t>
  </si>
  <si>
    <t>FRAIS POSTAUX</t>
  </si>
  <si>
    <t>658330000000</t>
  </si>
  <si>
    <t>PENALITES ET AMENDES PENA</t>
  </si>
  <si>
    <t>713410000000</t>
  </si>
  <si>
    <t>VARIATION DES STOCKS DE TRAVAUX</t>
  </si>
  <si>
    <t>COOPERATIVE AL IKHLASS - Balance jusqu'à décembre 2022</t>
  </si>
  <si>
    <t>313110100000</t>
  </si>
  <si>
    <t>PROJET CARREFOUR</t>
  </si>
  <si>
    <t>348800000000</t>
  </si>
  <si>
    <t>DIVERS DEBITEURS</t>
  </si>
  <si>
    <t>441100500000</t>
  </si>
  <si>
    <t>STE FATH MATERIEL ELECTRIQUE</t>
  </si>
  <si>
    <t>441101560000</t>
  </si>
  <si>
    <t>KS CONTROL</t>
  </si>
  <si>
    <t>441105100000</t>
  </si>
  <si>
    <t>AL HAMRA</t>
  </si>
  <si>
    <t>441105200000</t>
  </si>
  <si>
    <t>CONTINUUM</t>
  </si>
  <si>
    <t>441105400000</t>
  </si>
  <si>
    <t>RADEEMA</t>
  </si>
  <si>
    <t>441195470000</t>
  </si>
  <si>
    <t>TERAIN N° 2</t>
  </si>
  <si>
    <t>514103000000</t>
  </si>
  <si>
    <t>BANQUE 0027</t>
  </si>
  <si>
    <t>613650000000</t>
  </si>
  <si>
    <t>HONORAIRES</t>
  </si>
  <si>
    <t>617430000000</t>
  </si>
  <si>
    <t>COTISATIONS AUX MUTUELLES</t>
  </si>
  <si>
    <t>COOPERATIVE AL IKHLASS - Balance jusqu'à décembre 2023</t>
  </si>
  <si>
    <t>441100020000</t>
  </si>
  <si>
    <t>STE GENICONTROL JAB</t>
  </si>
  <si>
    <t>441100030000</t>
  </si>
  <si>
    <t>HORTIS LANDSCAPING DESIGN</t>
  </si>
  <si>
    <t>441100040000</t>
  </si>
  <si>
    <t>MR RQAOUI ABDELAZIZ</t>
  </si>
  <si>
    <t>441100050000</t>
  </si>
  <si>
    <t>FOURNISSEUR DIVERS</t>
  </si>
  <si>
    <t>441700000000</t>
  </si>
  <si>
    <t>FOURNI FAC NON PARVENUES</t>
  </si>
  <si>
    <t>448800000000</t>
  </si>
  <si>
    <t>DIVERS CREANCIERS</t>
  </si>
  <si>
    <t>616780000000</t>
  </si>
  <si>
    <t>AUTRES IMPOTS ET DR ASSIMI</t>
  </si>
  <si>
    <t>750700000000</t>
  </si>
  <si>
    <t>PRODUITS NON COURANTS DIV</t>
  </si>
  <si>
    <t>Benifice</t>
  </si>
  <si>
    <t>Resultat</t>
  </si>
  <si>
    <t>COOPERATIVE AL IKHLASS - Balance jusqu'à décembre 2018</t>
  </si>
  <si>
    <t>441100000000</t>
  </si>
  <si>
    <t>FOURNISSEURS</t>
  </si>
  <si>
    <t>441103000000</t>
  </si>
  <si>
    <t>MOHAMED HABIB BERDAI</t>
  </si>
  <si>
    <t>AUTRES PRODUITS NON COURANTS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</si>
</sst>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1F4E79"/>
      <name val="Arial"/>
    </font>
    <font>
      <sz val="9"/>
      <color rgb="FF000000"/>
      <name val="Arial"/>
    </font>
    <font>
      <b/>
      <sz val="10"/>
      <color rgb="FF000000"/>
      <name val="Arial"/>
    </font>
    <font>
      <sz val="11"/>
      <color rgb="FFFF0000"/>
      <name val="Calibri"/>
      <family val="2"/>
      <scheme val="minor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2F7FB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4" fontId="3" fillId="3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4" fontId="5" fillId="5" borderId="1" xfId="0" applyNumberFormat="1" applyFont="1" applyFill="1" applyBorder="1" applyAlignment="1">
      <alignment horizontal="right" vertical="center"/>
    </xf>
    <xf numFmtId="4" fontId="6" fillId="0" borderId="0" xfId="0" applyNumberFormat="1" applyFont="1"/>
    <xf numFmtId="4" fontId="3" fillId="3" borderId="1" xfId="0" applyNumberFormat="1" applyFont="1" applyFill="1" applyBorder="1" applyAlignment="1">
      <alignment horizontal="left" vertical="center"/>
    </xf>
    <xf numFmtId="4" fontId="7" fillId="4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2445E-DB9D-4DEA-90C2-AFDAF3D9FCC5}">
  <dimension ref="A2:H28"/>
  <sheetViews>
    <sheetView topLeftCell="A20" workbookViewId="0">
      <selection activeCell="G27" sqref="G27"/>
    </sheetView>
  </sheetViews>
  <sheetFormatPr baseColWidth="10" defaultRowHeight="14.5" x14ac:dyDescent="0.35"/>
  <cols>
    <col min="1" max="1" width="14.08984375" customWidth="1"/>
    <col min="2" max="2" width="31.90625" customWidth="1"/>
    <col min="3" max="3" width="14.54296875" customWidth="1"/>
    <col min="4" max="4" width="16.08984375" customWidth="1"/>
    <col min="5" max="5" width="14.7265625" customWidth="1"/>
    <col min="6" max="6" width="15.7265625" customWidth="1"/>
    <col min="7" max="7" width="15.81640625" customWidth="1"/>
    <col min="8" max="8" width="15.6328125" customWidth="1"/>
  </cols>
  <sheetData>
    <row r="2" spans="1:8" ht="16.5" x14ac:dyDescent="0.35">
      <c r="A2" s="17" t="s">
        <v>208</v>
      </c>
      <c r="B2" s="18"/>
      <c r="C2" s="18"/>
      <c r="D2" s="18"/>
      <c r="E2" s="18"/>
      <c r="F2" s="18"/>
      <c r="G2" s="18"/>
      <c r="H2" s="18"/>
    </row>
    <row r="3" spans="1:8" ht="52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35">
      <c r="A4" s="2" t="s">
        <v>9</v>
      </c>
      <c r="B4" s="3" t="s">
        <v>10</v>
      </c>
      <c r="C4" s="4">
        <f>SUM(C5:C7)</f>
        <v>1191.3</v>
      </c>
      <c r="D4" s="4">
        <f t="shared" ref="D4:H4" si="0">SUM(D5:D7)</f>
        <v>1287180</v>
      </c>
      <c r="E4" s="4">
        <f t="shared" si="0"/>
        <v>300535.40000000002</v>
      </c>
      <c r="F4" s="4">
        <f t="shared" si="0"/>
        <v>3255435.4</v>
      </c>
      <c r="G4" s="4">
        <f t="shared" si="0"/>
        <v>1191.3</v>
      </c>
      <c r="H4" s="4">
        <f t="shared" si="0"/>
        <v>4242080</v>
      </c>
    </row>
    <row r="5" spans="1:8" x14ac:dyDescent="0.35">
      <c r="A5" s="5" t="s">
        <v>11</v>
      </c>
      <c r="B5" s="6" t="s">
        <v>12</v>
      </c>
      <c r="C5" s="6"/>
      <c r="D5" s="7">
        <v>1287180</v>
      </c>
      <c r="E5" s="7">
        <v>300000</v>
      </c>
      <c r="F5" s="7">
        <v>3254900</v>
      </c>
      <c r="G5" s="6"/>
      <c r="H5" s="7">
        <v>4242080</v>
      </c>
    </row>
    <row r="6" spans="1:8" x14ac:dyDescent="0.35">
      <c r="A6" s="8" t="s">
        <v>13</v>
      </c>
      <c r="B6" s="9" t="s">
        <v>14</v>
      </c>
      <c r="C6" s="10">
        <v>655.9</v>
      </c>
      <c r="D6" s="9"/>
      <c r="E6" s="10">
        <v>535.4</v>
      </c>
      <c r="F6" s="9"/>
      <c r="G6" s="10">
        <v>1191.3</v>
      </c>
      <c r="H6" s="9"/>
    </row>
    <row r="7" spans="1:8" x14ac:dyDescent="0.35">
      <c r="A7" s="5" t="s">
        <v>17</v>
      </c>
      <c r="B7" s="6" t="s">
        <v>18</v>
      </c>
      <c r="C7" s="7">
        <v>535.4</v>
      </c>
      <c r="D7" s="6"/>
      <c r="E7" s="6"/>
      <c r="F7" s="7">
        <v>535.4</v>
      </c>
      <c r="G7" s="6"/>
      <c r="H7" s="6"/>
    </row>
    <row r="8" spans="1:8" x14ac:dyDescent="0.35">
      <c r="A8" s="2" t="s">
        <v>19</v>
      </c>
      <c r="B8" s="3" t="s">
        <v>20</v>
      </c>
      <c r="C8" s="3">
        <f>SUM(C9:C10)</f>
        <v>0</v>
      </c>
      <c r="D8" s="3">
        <f t="shared" ref="D8:H8" si="1">SUM(D9:D10)</f>
        <v>0</v>
      </c>
      <c r="E8" s="3">
        <f t="shared" si="1"/>
        <v>5131906</v>
      </c>
      <c r="F8" s="3">
        <f t="shared" si="1"/>
        <v>1000000</v>
      </c>
      <c r="G8" s="3">
        <f t="shared" si="1"/>
        <v>4131906</v>
      </c>
      <c r="H8" s="3">
        <f t="shared" si="1"/>
        <v>0</v>
      </c>
    </row>
    <row r="9" spans="1:8" x14ac:dyDescent="0.35">
      <c r="A9" s="5" t="s">
        <v>21</v>
      </c>
      <c r="B9" s="6" t="s">
        <v>22</v>
      </c>
      <c r="C9" s="6"/>
      <c r="D9" s="6"/>
      <c r="E9" s="7">
        <v>131906</v>
      </c>
      <c r="F9" s="6"/>
      <c r="G9" s="7">
        <v>131906</v>
      </c>
      <c r="H9" s="6"/>
    </row>
    <row r="10" spans="1:8" x14ac:dyDescent="0.35">
      <c r="A10" s="8" t="s">
        <v>23</v>
      </c>
      <c r="B10" s="9" t="s">
        <v>24</v>
      </c>
      <c r="C10" s="9"/>
      <c r="D10" s="9"/>
      <c r="E10" s="10">
        <v>5000000</v>
      </c>
      <c r="F10" s="10">
        <v>1000000</v>
      </c>
      <c r="G10" s="10">
        <v>4000000</v>
      </c>
      <c r="H10" s="9"/>
    </row>
    <row r="11" spans="1:8" x14ac:dyDescent="0.35">
      <c r="A11" s="2" t="s">
        <v>25</v>
      </c>
      <c r="B11" s="3" t="s">
        <v>26</v>
      </c>
      <c r="C11" s="3">
        <f>SUM(C12:C14)</f>
        <v>0</v>
      </c>
      <c r="D11" s="3">
        <f t="shared" ref="D11:H11" si="2">SUM(D12:D14)</f>
        <v>0</v>
      </c>
      <c r="E11" s="3">
        <f t="shared" si="2"/>
        <v>131900</v>
      </c>
      <c r="F11" s="3">
        <f t="shared" si="2"/>
        <v>131900</v>
      </c>
      <c r="G11" s="3">
        <f t="shared" si="2"/>
        <v>0</v>
      </c>
      <c r="H11" s="3">
        <f t="shared" si="2"/>
        <v>0</v>
      </c>
    </row>
    <row r="12" spans="1:8" x14ac:dyDescent="0.35">
      <c r="A12" s="8" t="s">
        <v>209</v>
      </c>
      <c r="B12" s="9" t="s">
        <v>210</v>
      </c>
      <c r="C12" s="9"/>
      <c r="D12" s="9"/>
      <c r="E12" s="10">
        <v>50000</v>
      </c>
      <c r="F12" s="10">
        <v>50000</v>
      </c>
      <c r="G12" s="9"/>
      <c r="H12" s="9"/>
    </row>
    <row r="13" spans="1:8" x14ac:dyDescent="0.35">
      <c r="A13" s="5" t="s">
        <v>29</v>
      </c>
      <c r="B13" s="6" t="s">
        <v>30</v>
      </c>
      <c r="C13" s="6"/>
      <c r="D13" s="6"/>
      <c r="E13" s="7">
        <v>76900</v>
      </c>
      <c r="F13" s="7">
        <v>76900</v>
      </c>
      <c r="G13" s="6"/>
      <c r="H13" s="6"/>
    </row>
    <row r="14" spans="1:8" x14ac:dyDescent="0.35">
      <c r="A14" s="8" t="s">
        <v>211</v>
      </c>
      <c r="B14" s="9" t="s">
        <v>212</v>
      </c>
      <c r="C14" s="9"/>
      <c r="D14" s="9"/>
      <c r="E14" s="10">
        <v>5000</v>
      </c>
      <c r="F14" s="10">
        <v>5000</v>
      </c>
      <c r="G14" s="9"/>
      <c r="H14" s="9"/>
    </row>
    <row r="15" spans="1:8" x14ac:dyDescent="0.35">
      <c r="A15" s="2" t="s">
        <v>33</v>
      </c>
      <c r="B15" s="3" t="s">
        <v>34</v>
      </c>
      <c r="C15" s="4">
        <f>SUM(C16:C19)</f>
        <v>1285988.7</v>
      </c>
      <c r="D15" s="4">
        <f t="shared" ref="D15:H15" si="3">SUM(D16:D19)</f>
        <v>0</v>
      </c>
      <c r="E15" s="4">
        <f t="shared" si="3"/>
        <v>5368000</v>
      </c>
      <c r="F15" s="4">
        <f t="shared" si="3"/>
        <v>6544343.7999999998</v>
      </c>
      <c r="G15" s="4">
        <f t="shared" si="3"/>
        <v>109644.9</v>
      </c>
      <c r="H15" s="4">
        <f t="shared" si="3"/>
        <v>0</v>
      </c>
    </row>
    <row r="16" spans="1:8" x14ac:dyDescent="0.35">
      <c r="A16" s="8" t="s">
        <v>106</v>
      </c>
      <c r="B16" s="9" t="s">
        <v>107</v>
      </c>
      <c r="C16" s="9"/>
      <c r="D16" s="9"/>
      <c r="E16" s="10">
        <v>720000</v>
      </c>
      <c r="F16" s="10">
        <v>720000</v>
      </c>
      <c r="G16" s="9"/>
      <c r="H16" s="9"/>
    </row>
    <row r="17" spans="1:8" x14ac:dyDescent="0.35">
      <c r="A17" s="5" t="s">
        <v>35</v>
      </c>
      <c r="B17" s="6" t="s">
        <v>36</v>
      </c>
      <c r="C17" s="7">
        <v>1284489.7</v>
      </c>
      <c r="D17" s="6"/>
      <c r="E17" s="7">
        <v>541000</v>
      </c>
      <c r="F17" s="7">
        <v>1773729.3</v>
      </c>
      <c r="G17" s="7">
        <v>51760.4</v>
      </c>
      <c r="H17" s="6"/>
    </row>
    <row r="18" spans="1:8" x14ac:dyDescent="0.35">
      <c r="A18" s="8" t="s">
        <v>37</v>
      </c>
      <c r="B18" s="9" t="s">
        <v>38</v>
      </c>
      <c r="C18" s="10">
        <v>1499</v>
      </c>
      <c r="D18" s="9"/>
      <c r="E18" s="10">
        <v>47000</v>
      </c>
      <c r="F18" s="10">
        <v>349.5</v>
      </c>
      <c r="G18" s="10">
        <v>48149.5</v>
      </c>
      <c r="H18" s="9"/>
    </row>
    <row r="19" spans="1:8" x14ac:dyDescent="0.35">
      <c r="A19" s="5" t="s">
        <v>39</v>
      </c>
      <c r="B19" s="6" t="s">
        <v>40</v>
      </c>
      <c r="C19" s="6"/>
      <c r="D19" s="6"/>
      <c r="E19" s="7">
        <v>4060000</v>
      </c>
      <c r="F19" s="7">
        <v>4050265</v>
      </c>
      <c r="G19" s="7">
        <v>9735</v>
      </c>
      <c r="H19" s="6"/>
    </row>
    <row r="20" spans="1:8" x14ac:dyDescent="0.35">
      <c r="A20" s="2" t="s">
        <v>41</v>
      </c>
      <c r="B20" s="3" t="s">
        <v>42</v>
      </c>
      <c r="C20" s="3">
        <f>SUM(C21:C23)</f>
        <v>0</v>
      </c>
      <c r="D20" s="3">
        <f t="shared" ref="D20:H20" si="4">SUM(D21:D23)</f>
        <v>0</v>
      </c>
      <c r="E20" s="3">
        <f t="shared" si="4"/>
        <v>132893.79999999999</v>
      </c>
      <c r="F20" s="3">
        <f t="shared" si="4"/>
        <v>0</v>
      </c>
      <c r="G20" s="3">
        <f t="shared" si="4"/>
        <v>132893.79999999999</v>
      </c>
      <c r="H20" s="3">
        <f t="shared" si="4"/>
        <v>0</v>
      </c>
    </row>
    <row r="21" spans="1:8" x14ac:dyDescent="0.35">
      <c r="A21" s="5" t="s">
        <v>185</v>
      </c>
      <c r="B21" s="6" t="s">
        <v>186</v>
      </c>
      <c r="C21" s="6"/>
      <c r="D21" s="6"/>
      <c r="E21" s="7">
        <v>131900</v>
      </c>
      <c r="F21" s="6"/>
      <c r="G21" s="7">
        <v>131900</v>
      </c>
      <c r="H21" s="6"/>
    </row>
    <row r="22" spans="1:8" x14ac:dyDescent="0.35">
      <c r="A22" s="8" t="s">
        <v>45</v>
      </c>
      <c r="B22" s="9" t="s">
        <v>46</v>
      </c>
      <c r="C22" s="9"/>
      <c r="D22" s="9"/>
      <c r="E22" s="10">
        <v>987.8</v>
      </c>
      <c r="F22" s="9"/>
      <c r="G22" s="10">
        <v>987.8</v>
      </c>
      <c r="H22" s="9"/>
    </row>
    <row r="23" spans="1:8" x14ac:dyDescent="0.35">
      <c r="A23" s="5" t="s">
        <v>140</v>
      </c>
      <c r="B23" s="6" t="s">
        <v>141</v>
      </c>
      <c r="C23" s="6"/>
      <c r="D23" s="6"/>
      <c r="E23" s="7">
        <v>6</v>
      </c>
      <c r="F23" s="6"/>
      <c r="G23" s="7">
        <v>6</v>
      </c>
      <c r="H23" s="6"/>
    </row>
    <row r="24" spans="1:8" x14ac:dyDescent="0.35">
      <c r="A24" s="2" t="s">
        <v>49</v>
      </c>
      <c r="B24" s="3" t="s">
        <v>50</v>
      </c>
      <c r="C24" s="3">
        <f>SUM(C25:C26)</f>
        <v>0</v>
      </c>
      <c r="D24" s="3">
        <f t="shared" ref="D24:H24" si="5">SUM(D25:D26)</f>
        <v>0</v>
      </c>
      <c r="E24" s="3">
        <f t="shared" si="5"/>
        <v>0</v>
      </c>
      <c r="F24" s="3">
        <f t="shared" si="5"/>
        <v>133556</v>
      </c>
      <c r="G24" s="3">
        <f t="shared" si="5"/>
        <v>0</v>
      </c>
      <c r="H24" s="3">
        <f t="shared" si="5"/>
        <v>133556</v>
      </c>
    </row>
    <row r="25" spans="1:8" x14ac:dyDescent="0.35">
      <c r="A25" s="5" t="s">
        <v>51</v>
      </c>
      <c r="B25" s="6" t="s">
        <v>52</v>
      </c>
      <c r="C25" s="6"/>
      <c r="D25" s="6"/>
      <c r="E25" s="6"/>
      <c r="F25" s="7">
        <v>131906</v>
      </c>
      <c r="G25" s="6"/>
      <c r="H25" s="7">
        <v>131906</v>
      </c>
    </row>
    <row r="26" spans="1:8" x14ac:dyDescent="0.35">
      <c r="A26" s="8" t="s">
        <v>53</v>
      </c>
      <c r="B26" s="9" t="s">
        <v>213</v>
      </c>
      <c r="C26" s="9"/>
      <c r="D26" s="9"/>
      <c r="E26" s="9"/>
      <c r="F26" s="10">
        <v>1650</v>
      </c>
      <c r="G26" s="9"/>
      <c r="H26" s="10">
        <v>1650</v>
      </c>
    </row>
    <row r="27" spans="1:8" x14ac:dyDescent="0.35">
      <c r="A27" s="11"/>
      <c r="B27" s="12" t="s">
        <v>55</v>
      </c>
      <c r="C27" s="13">
        <f>C4+C8+C11+C15+C20+C24</f>
        <v>1287180</v>
      </c>
      <c r="D27" s="13">
        <f t="shared" ref="D27:H27" si="6">D4+D8+D11+D15+D20+D24</f>
        <v>1287180</v>
      </c>
      <c r="E27" s="13">
        <f t="shared" si="6"/>
        <v>11065235.200000001</v>
      </c>
      <c r="F27" s="13">
        <f t="shared" si="6"/>
        <v>11065235.199999999</v>
      </c>
      <c r="G27" s="13">
        <f t="shared" si="6"/>
        <v>4375636</v>
      </c>
      <c r="H27" s="13">
        <f t="shared" si="6"/>
        <v>4375636</v>
      </c>
    </row>
    <row r="28" spans="1:8" x14ac:dyDescent="0.35">
      <c r="D28" t="s">
        <v>207</v>
      </c>
      <c r="E28">
        <f>F24-E20</f>
        <v>662.20000000001164</v>
      </c>
    </row>
  </sheetData>
  <mergeCells count="1"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opLeftCell="A18" zoomScale="67" workbookViewId="0">
      <selection activeCell="B27" sqref="B27"/>
    </sheetView>
  </sheetViews>
  <sheetFormatPr baseColWidth="10" defaultColWidth="8.7265625" defaultRowHeight="14.5" x14ac:dyDescent="0.35"/>
  <cols>
    <col min="1" max="1" width="16" customWidth="1"/>
    <col min="2" max="2" width="38" customWidth="1"/>
    <col min="3" max="8" width="18" customWidth="1"/>
  </cols>
  <sheetData>
    <row r="1" spans="1:8" ht="30" customHeight="1" x14ac:dyDescent="0.35">
      <c r="A1" s="17" t="s">
        <v>0</v>
      </c>
      <c r="B1" s="18"/>
      <c r="C1" s="18"/>
      <c r="D1" s="18"/>
      <c r="E1" s="18"/>
      <c r="F1" s="18"/>
      <c r="G1" s="18"/>
      <c r="H1" s="18"/>
    </row>
    <row r="2" spans="1:8" ht="3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8" customHeight="1" x14ac:dyDescent="0.35">
      <c r="A3" s="2" t="s">
        <v>9</v>
      </c>
      <c r="B3" s="3" t="s">
        <v>10</v>
      </c>
      <c r="C3" s="4">
        <f>SUM(C4:C7)</f>
        <v>1191.3</v>
      </c>
      <c r="D3" s="4">
        <f t="shared" ref="D3:G3" si="0">SUM(D4:D7)</f>
        <v>4242742.2</v>
      </c>
      <c r="E3" s="4">
        <f t="shared" si="0"/>
        <v>155662.20000000001</v>
      </c>
      <c r="F3" s="4">
        <f t="shared" si="0"/>
        <v>3764135.5</v>
      </c>
      <c r="G3" s="4">
        <f t="shared" si="0"/>
        <v>1191.3000000000002</v>
      </c>
      <c r="H3" s="4">
        <f>SUM(H4:H7)</f>
        <v>7851215.5</v>
      </c>
    </row>
    <row r="4" spans="1:8" ht="18" customHeight="1" x14ac:dyDescent="0.35">
      <c r="A4" s="5" t="s">
        <v>11</v>
      </c>
      <c r="B4" s="6" t="s">
        <v>12</v>
      </c>
      <c r="C4" s="6"/>
      <c r="D4" s="7">
        <v>4242080</v>
      </c>
      <c r="E4" s="7">
        <v>155000</v>
      </c>
      <c r="F4" s="7">
        <v>3763473.3</v>
      </c>
      <c r="G4" s="6"/>
      <c r="H4" s="7">
        <v>7850553.2999999998</v>
      </c>
    </row>
    <row r="5" spans="1:8" ht="18" customHeight="1" x14ac:dyDescent="0.35">
      <c r="A5" s="8" t="s">
        <v>13</v>
      </c>
      <c r="B5" s="9" t="s">
        <v>14</v>
      </c>
      <c r="C5" s="10">
        <v>1191.3</v>
      </c>
      <c r="D5" s="9"/>
      <c r="E5" s="9"/>
      <c r="F5" s="10">
        <v>662.2</v>
      </c>
      <c r="G5" s="10">
        <v>529.1</v>
      </c>
      <c r="H5" s="9"/>
    </row>
    <row r="6" spans="1:8" ht="18" customHeight="1" x14ac:dyDescent="0.35">
      <c r="A6" s="5" t="s">
        <v>15</v>
      </c>
      <c r="B6" s="6" t="s">
        <v>16</v>
      </c>
      <c r="C6" s="6"/>
      <c r="D6" s="7">
        <v>662.2</v>
      </c>
      <c r="E6" s="6"/>
      <c r="F6" s="6"/>
      <c r="G6" s="6"/>
      <c r="H6" s="7">
        <v>662.2</v>
      </c>
    </row>
    <row r="7" spans="1:8" ht="18" customHeight="1" x14ac:dyDescent="0.35">
      <c r="A7" s="8" t="s">
        <v>17</v>
      </c>
      <c r="B7" s="9" t="s">
        <v>18</v>
      </c>
      <c r="C7" s="9"/>
      <c r="D7" s="9"/>
      <c r="E7" s="10">
        <v>662.2</v>
      </c>
      <c r="F7" s="9"/>
      <c r="G7" s="10">
        <v>662.2</v>
      </c>
      <c r="H7" s="9"/>
    </row>
    <row r="8" spans="1:8" ht="18" customHeight="1" x14ac:dyDescent="0.35">
      <c r="A8" s="2" t="s">
        <v>19</v>
      </c>
      <c r="B8" s="3" t="s">
        <v>20</v>
      </c>
      <c r="C8" s="4">
        <f>SUM(C9:C10)</f>
        <v>4131906</v>
      </c>
      <c r="D8" s="4">
        <f t="shared" ref="D8:H8" si="1">SUM(D9:D10)</f>
        <v>0</v>
      </c>
      <c r="E8" s="4">
        <f t="shared" si="1"/>
        <v>23142346</v>
      </c>
      <c r="F8" s="4">
        <f t="shared" si="1"/>
        <v>4000000</v>
      </c>
      <c r="G8" s="4">
        <f t="shared" si="1"/>
        <v>23274252</v>
      </c>
      <c r="H8" s="4">
        <f t="shared" si="1"/>
        <v>0</v>
      </c>
    </row>
    <row r="9" spans="1:8" ht="18" customHeight="1" x14ac:dyDescent="0.35">
      <c r="A9" s="8" t="s">
        <v>21</v>
      </c>
      <c r="B9" s="9" t="s">
        <v>22</v>
      </c>
      <c r="C9" s="10">
        <v>131906</v>
      </c>
      <c r="D9" s="9"/>
      <c r="E9" s="10">
        <v>23142346</v>
      </c>
      <c r="F9" s="9"/>
      <c r="G9" s="10">
        <v>23274252</v>
      </c>
      <c r="H9" s="9"/>
    </row>
    <row r="10" spans="1:8" ht="18" customHeight="1" x14ac:dyDescent="0.35">
      <c r="A10" s="5" t="s">
        <v>23</v>
      </c>
      <c r="B10" s="6" t="s">
        <v>24</v>
      </c>
      <c r="C10" s="7">
        <v>4000000</v>
      </c>
      <c r="D10" s="6"/>
      <c r="E10" s="6"/>
      <c r="F10" s="7">
        <v>4000000</v>
      </c>
      <c r="G10" s="6"/>
      <c r="H10" s="6"/>
    </row>
    <row r="11" spans="1:8" ht="18" customHeight="1" x14ac:dyDescent="0.35">
      <c r="A11" s="2" t="s">
        <v>25</v>
      </c>
      <c r="B11" s="3" t="s">
        <v>26</v>
      </c>
      <c r="C11" s="3"/>
      <c r="D11" s="3"/>
      <c r="E11" s="4">
        <f>SUM(E12:E14)</f>
        <v>8767796.5</v>
      </c>
      <c r="F11" s="4">
        <f t="shared" ref="F11:H11" si="2">SUM(F12:F14)</f>
        <v>24527192</v>
      </c>
      <c r="G11" s="4">
        <f t="shared" si="2"/>
        <v>0</v>
      </c>
      <c r="H11" s="4">
        <f t="shared" si="2"/>
        <v>15759395.5</v>
      </c>
    </row>
    <row r="12" spans="1:8" ht="18" customHeight="1" x14ac:dyDescent="0.35">
      <c r="A12" s="5" t="s">
        <v>27</v>
      </c>
      <c r="B12" s="6" t="s">
        <v>28</v>
      </c>
      <c r="C12" s="6"/>
      <c r="D12" s="6"/>
      <c r="E12" s="7">
        <v>6000000</v>
      </c>
      <c r="F12" s="7">
        <v>21757500</v>
      </c>
      <c r="G12" s="6"/>
      <c r="H12" s="7">
        <v>15757500</v>
      </c>
    </row>
    <row r="13" spans="1:8" ht="18" customHeight="1" x14ac:dyDescent="0.35">
      <c r="A13" s="8" t="s">
        <v>29</v>
      </c>
      <c r="B13" s="9" t="s">
        <v>30</v>
      </c>
      <c r="C13" s="9"/>
      <c r="D13" s="9"/>
      <c r="E13" s="10">
        <v>1382950.5</v>
      </c>
      <c r="F13" s="10">
        <v>1384846</v>
      </c>
      <c r="G13" s="9"/>
      <c r="H13" s="10">
        <v>1895.5</v>
      </c>
    </row>
    <row r="14" spans="1:8" ht="18" customHeight="1" x14ac:dyDescent="0.35">
      <c r="A14" s="5" t="s">
        <v>31</v>
      </c>
      <c r="B14" s="6" t="s">
        <v>32</v>
      </c>
      <c r="C14" s="6"/>
      <c r="D14" s="6"/>
      <c r="E14" s="7">
        <v>1384846</v>
      </c>
      <c r="F14" s="7">
        <v>1384846</v>
      </c>
      <c r="G14" s="6"/>
      <c r="H14" s="6"/>
    </row>
    <row r="15" spans="1:8" ht="18" customHeight="1" x14ac:dyDescent="0.35">
      <c r="A15" s="2" t="s">
        <v>33</v>
      </c>
      <c r="B15" s="3" t="s">
        <v>34</v>
      </c>
      <c r="C15" s="4">
        <f>SUM(C16:C18)</f>
        <v>109644.9</v>
      </c>
      <c r="D15" s="4">
        <f t="shared" ref="D15:H15" si="3">SUM(D16:D18)</f>
        <v>0</v>
      </c>
      <c r="E15" s="4">
        <f t="shared" si="3"/>
        <v>3763473.3</v>
      </c>
      <c r="F15" s="4">
        <f t="shared" si="3"/>
        <v>3536550.5</v>
      </c>
      <c r="G15" s="4">
        <f t="shared" si="3"/>
        <v>336567.7</v>
      </c>
      <c r="H15" s="4">
        <f t="shared" si="3"/>
        <v>0</v>
      </c>
    </row>
    <row r="16" spans="1:8" ht="18" customHeight="1" x14ac:dyDescent="0.35">
      <c r="A16" s="5" t="s">
        <v>35</v>
      </c>
      <c r="B16" s="6" t="s">
        <v>36</v>
      </c>
      <c r="C16" s="7">
        <v>51760.4</v>
      </c>
      <c r="D16" s="6"/>
      <c r="E16" s="6"/>
      <c r="F16" s="7">
        <v>47786</v>
      </c>
      <c r="G16" s="7">
        <v>3974.4</v>
      </c>
      <c r="H16" s="6"/>
    </row>
    <row r="17" spans="1:8" ht="18" customHeight="1" x14ac:dyDescent="0.35">
      <c r="A17" s="8" t="s">
        <v>37</v>
      </c>
      <c r="B17" s="9" t="s">
        <v>38</v>
      </c>
      <c r="C17" s="10">
        <v>48149.5</v>
      </c>
      <c r="D17" s="9"/>
      <c r="E17" s="9"/>
      <c r="F17" s="10">
        <v>330</v>
      </c>
      <c r="G17" s="10">
        <v>47819.5</v>
      </c>
      <c r="H17" s="9"/>
    </row>
    <row r="18" spans="1:8" ht="18" customHeight="1" x14ac:dyDescent="0.35">
      <c r="A18" s="5" t="s">
        <v>39</v>
      </c>
      <c r="B18" s="6" t="s">
        <v>40</v>
      </c>
      <c r="C18" s="7">
        <v>9735</v>
      </c>
      <c r="D18" s="6"/>
      <c r="E18" s="7">
        <v>3763473.3</v>
      </c>
      <c r="F18" s="7">
        <v>3488434.5</v>
      </c>
      <c r="G18" s="7">
        <v>284773.8</v>
      </c>
      <c r="H18" s="6"/>
    </row>
    <row r="19" spans="1:8" ht="18" customHeight="1" x14ac:dyDescent="0.35">
      <c r="A19" s="2" t="s">
        <v>41</v>
      </c>
      <c r="B19" s="3" t="s">
        <v>42</v>
      </c>
      <c r="C19" s="3"/>
      <c r="D19" s="3"/>
      <c r="E19" s="4">
        <f>SUM(E20:E22)</f>
        <v>23143446</v>
      </c>
      <c r="F19" s="4">
        <f t="shared" ref="F19:H19" si="4">SUM(F20:F22)</f>
        <v>0</v>
      </c>
      <c r="G19" s="4">
        <f t="shared" si="4"/>
        <v>23143446</v>
      </c>
      <c r="H19" s="4">
        <f t="shared" si="4"/>
        <v>0</v>
      </c>
    </row>
    <row r="20" spans="1:8" ht="18" customHeight="1" x14ac:dyDescent="0.35">
      <c r="A20" s="5" t="s">
        <v>43</v>
      </c>
      <c r="B20" s="6" t="s">
        <v>44</v>
      </c>
      <c r="C20" s="6"/>
      <c r="D20" s="6"/>
      <c r="E20" s="7">
        <v>21757500</v>
      </c>
      <c r="F20" s="6"/>
      <c r="G20" s="7">
        <v>21757500</v>
      </c>
      <c r="H20" s="6"/>
    </row>
    <row r="21" spans="1:8" ht="18" customHeight="1" x14ac:dyDescent="0.35">
      <c r="A21" s="8" t="s">
        <v>45</v>
      </c>
      <c r="B21" s="9" t="s">
        <v>46</v>
      </c>
      <c r="C21" s="9"/>
      <c r="D21" s="9"/>
      <c r="E21" s="10">
        <v>1100</v>
      </c>
      <c r="F21" s="9"/>
      <c r="G21" s="10">
        <v>1100</v>
      </c>
      <c r="H21" s="9"/>
    </row>
    <row r="22" spans="1:8" ht="18" customHeight="1" x14ac:dyDescent="0.35">
      <c r="A22" s="5" t="s">
        <v>47</v>
      </c>
      <c r="B22" s="6" t="s">
        <v>48</v>
      </c>
      <c r="C22" s="6"/>
      <c r="D22" s="6"/>
      <c r="E22" s="7">
        <v>1384846</v>
      </c>
      <c r="F22" s="6"/>
      <c r="G22" s="7">
        <v>1384846</v>
      </c>
      <c r="H22" s="6"/>
    </row>
    <row r="23" spans="1:8" ht="18" customHeight="1" x14ac:dyDescent="0.35">
      <c r="A23" s="2" t="s">
        <v>49</v>
      </c>
      <c r="B23" s="3" t="s">
        <v>50</v>
      </c>
      <c r="C23" s="3"/>
      <c r="D23" s="3"/>
      <c r="E23" s="3"/>
      <c r="F23" s="4">
        <f>SUM(F24:F25)</f>
        <v>23144846</v>
      </c>
      <c r="G23" s="4">
        <f t="shared" ref="G23:H23" si="5">SUM(G24:G25)</f>
        <v>0</v>
      </c>
      <c r="H23" s="4">
        <f t="shared" si="5"/>
        <v>23144846</v>
      </c>
    </row>
    <row r="24" spans="1:8" ht="18" customHeight="1" x14ac:dyDescent="0.35">
      <c r="A24" s="5" t="s">
        <v>51</v>
      </c>
      <c r="B24" s="6" t="s">
        <v>52</v>
      </c>
      <c r="C24" s="6"/>
      <c r="D24" s="6"/>
      <c r="E24" s="6"/>
      <c r="F24" s="7">
        <v>23142346</v>
      </c>
      <c r="G24" s="6"/>
      <c r="H24" s="7">
        <v>23142346</v>
      </c>
    </row>
    <row r="25" spans="1:8" ht="18" customHeight="1" x14ac:dyDescent="0.35">
      <c r="A25" s="8" t="s">
        <v>53</v>
      </c>
      <c r="B25" s="9" t="s">
        <v>54</v>
      </c>
      <c r="C25" s="9"/>
      <c r="D25" s="9"/>
      <c r="E25" s="9"/>
      <c r="F25" s="10">
        <v>2500</v>
      </c>
      <c r="G25" s="9"/>
      <c r="H25" s="10">
        <v>2500</v>
      </c>
    </row>
    <row r="26" spans="1:8" ht="18" customHeight="1" x14ac:dyDescent="0.35">
      <c r="A26" s="11"/>
      <c r="B26" s="12" t="s">
        <v>55</v>
      </c>
      <c r="C26" s="13">
        <f>C3+C8+C11+C15+C19+C23</f>
        <v>4242742.2</v>
      </c>
      <c r="D26" s="13">
        <f t="shared" ref="D26:H26" si="6">D3+D8+D11+D15+D19+D23</f>
        <v>4242742.2</v>
      </c>
      <c r="E26" s="13">
        <f t="shared" si="6"/>
        <v>58972724</v>
      </c>
      <c r="F26" s="13">
        <f t="shared" si="6"/>
        <v>58972724</v>
      </c>
      <c r="G26" s="13">
        <f t="shared" si="6"/>
        <v>46755457</v>
      </c>
      <c r="H26" s="13">
        <f t="shared" si="6"/>
        <v>46755457</v>
      </c>
    </row>
    <row r="27" spans="1:8" x14ac:dyDescent="0.35">
      <c r="C27" t="s">
        <v>206</v>
      </c>
      <c r="D27" s="14">
        <f>F23-E19</f>
        <v>1400</v>
      </c>
    </row>
  </sheetData>
  <mergeCells count="1">
    <mergeCell ref="A1:H1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4"/>
  <sheetViews>
    <sheetView tabSelected="1" topLeftCell="A42" workbookViewId="0">
      <selection activeCell="G43" sqref="G43"/>
    </sheetView>
  </sheetViews>
  <sheetFormatPr baseColWidth="10" defaultColWidth="8.7265625" defaultRowHeight="14.5" x14ac:dyDescent="0.35"/>
  <cols>
    <col min="1" max="1" width="16" customWidth="1"/>
    <col min="2" max="2" width="38" customWidth="1"/>
    <col min="3" max="8" width="18" customWidth="1"/>
  </cols>
  <sheetData>
    <row r="1" spans="1:8" ht="30" customHeight="1" x14ac:dyDescent="0.35">
      <c r="A1" s="17" t="s">
        <v>56</v>
      </c>
      <c r="B1" s="18"/>
      <c r="C1" s="18"/>
      <c r="D1" s="18"/>
      <c r="E1" s="18"/>
      <c r="F1" s="18"/>
      <c r="G1" s="18"/>
      <c r="H1" s="18"/>
    </row>
    <row r="2" spans="1:8" ht="3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8" customHeight="1" x14ac:dyDescent="0.35">
      <c r="A3" s="2" t="s">
        <v>9</v>
      </c>
      <c r="B3" s="3" t="s">
        <v>10</v>
      </c>
      <c r="C3" s="4">
        <f>SUM(C4:C6)</f>
        <v>1191.3000000000002</v>
      </c>
      <c r="D3" s="4">
        <f t="shared" ref="D3:H3" si="0">SUM(D4:D6)</f>
        <v>7852615.5</v>
      </c>
      <c r="E3" s="4">
        <f t="shared" si="0"/>
        <v>41400</v>
      </c>
      <c r="F3" s="4">
        <f t="shared" si="0"/>
        <v>10459529.82</v>
      </c>
      <c r="G3" s="4">
        <f t="shared" si="0"/>
        <v>0</v>
      </c>
      <c r="H3" s="4">
        <f t="shared" si="0"/>
        <v>18269554.02</v>
      </c>
    </row>
    <row r="4" spans="1:8" ht="18" customHeight="1" x14ac:dyDescent="0.35">
      <c r="A4" s="5" t="s">
        <v>11</v>
      </c>
      <c r="B4" s="6" t="s">
        <v>12</v>
      </c>
      <c r="C4" s="6"/>
      <c r="D4" s="7">
        <v>7850553.2999999998</v>
      </c>
      <c r="E4" s="7">
        <v>40000</v>
      </c>
      <c r="F4" s="7">
        <v>10458129.82</v>
      </c>
      <c r="G4" s="6"/>
      <c r="H4" s="7">
        <v>18268683.120000001</v>
      </c>
    </row>
    <row r="5" spans="1:8" ht="18" customHeight="1" x14ac:dyDescent="0.35">
      <c r="A5" s="8" t="s">
        <v>13</v>
      </c>
      <c r="B5" s="9" t="s">
        <v>14</v>
      </c>
      <c r="C5" s="10">
        <v>529.1</v>
      </c>
      <c r="D5" s="9"/>
      <c r="E5" s="9"/>
      <c r="F5" s="10">
        <v>1400</v>
      </c>
      <c r="G5" s="9"/>
      <c r="H5" s="10">
        <v>870.9</v>
      </c>
    </row>
    <row r="6" spans="1:8" ht="18" customHeight="1" x14ac:dyDescent="0.35">
      <c r="A6" s="5" t="s">
        <v>15</v>
      </c>
      <c r="B6" s="6" t="s">
        <v>16</v>
      </c>
      <c r="C6" s="7">
        <v>662.2</v>
      </c>
      <c r="D6" s="7">
        <v>2062.1999999999998</v>
      </c>
      <c r="E6" s="7">
        <v>1400</v>
      </c>
      <c r="F6" s="6"/>
      <c r="G6" s="6"/>
      <c r="H6" s="6"/>
    </row>
    <row r="7" spans="1:8" ht="18" customHeight="1" x14ac:dyDescent="0.35">
      <c r="A7" s="2" t="s">
        <v>57</v>
      </c>
      <c r="B7" s="3" t="s">
        <v>58</v>
      </c>
      <c r="C7" s="3">
        <f>SUM(C8:C11)</f>
        <v>0</v>
      </c>
      <c r="D7" s="3">
        <f t="shared" ref="D7:H7" si="1">SUM(D8:D11)</f>
        <v>0</v>
      </c>
      <c r="E7" s="3">
        <f t="shared" si="1"/>
        <v>9413.0499999999993</v>
      </c>
      <c r="F7" s="3">
        <f t="shared" si="1"/>
        <v>470.65</v>
      </c>
      <c r="G7" s="3">
        <f t="shared" si="1"/>
        <v>9413.0499999999993</v>
      </c>
      <c r="H7" s="3">
        <f t="shared" si="1"/>
        <v>470.65</v>
      </c>
    </row>
    <row r="8" spans="1:8" ht="18" customHeight="1" x14ac:dyDescent="0.35">
      <c r="A8" s="5" t="s">
        <v>59</v>
      </c>
      <c r="B8" s="6" t="s">
        <v>60</v>
      </c>
      <c r="C8" s="6"/>
      <c r="D8" s="6"/>
      <c r="E8" s="7">
        <v>5994</v>
      </c>
      <c r="F8" s="6"/>
      <c r="G8" s="7">
        <v>5994</v>
      </c>
      <c r="H8" s="6"/>
    </row>
    <row r="9" spans="1:8" ht="18" customHeight="1" x14ac:dyDescent="0.35">
      <c r="A9" s="8" t="s">
        <v>61</v>
      </c>
      <c r="B9" s="9" t="s">
        <v>62</v>
      </c>
      <c r="C9" s="9"/>
      <c r="D9" s="9"/>
      <c r="E9" s="10">
        <v>3419.05</v>
      </c>
      <c r="F9" s="9"/>
      <c r="G9" s="10">
        <v>3419.05</v>
      </c>
      <c r="H9" s="9"/>
    </row>
    <row r="10" spans="1:8" ht="18" customHeight="1" x14ac:dyDescent="0.35">
      <c r="A10" s="5" t="s">
        <v>63</v>
      </c>
      <c r="B10" s="6" t="s">
        <v>64</v>
      </c>
      <c r="C10" s="6"/>
      <c r="D10" s="6"/>
      <c r="E10" s="6"/>
      <c r="F10" s="7">
        <v>299.7</v>
      </c>
      <c r="G10" s="6"/>
      <c r="H10" s="7">
        <v>299.7</v>
      </c>
    </row>
    <row r="11" spans="1:8" ht="18" customHeight="1" x14ac:dyDescent="0.35">
      <c r="A11" s="8" t="s">
        <v>65</v>
      </c>
      <c r="B11" s="9" t="s">
        <v>66</v>
      </c>
      <c r="C11" s="9"/>
      <c r="D11" s="9"/>
      <c r="E11" s="9"/>
      <c r="F11" s="10">
        <v>170.95</v>
      </c>
      <c r="G11" s="9"/>
      <c r="H11" s="10">
        <v>170.95</v>
      </c>
    </row>
    <row r="12" spans="1:8" ht="18" customHeight="1" x14ac:dyDescent="0.35">
      <c r="A12" s="2" t="s">
        <v>19</v>
      </c>
      <c r="B12" s="3" t="s">
        <v>20</v>
      </c>
      <c r="C12" s="4">
        <f>SUM(C13:C14)</f>
        <v>23274252</v>
      </c>
      <c r="D12" s="4">
        <f t="shared" ref="D12:H12" si="2">SUM(D13:D14)</f>
        <v>0</v>
      </c>
      <c r="E12" s="4">
        <f t="shared" si="2"/>
        <v>2875101.66</v>
      </c>
      <c r="F12" s="4">
        <f t="shared" si="2"/>
        <v>0</v>
      </c>
      <c r="G12" s="4">
        <f t="shared" si="2"/>
        <v>26149353.66</v>
      </c>
      <c r="H12" s="4">
        <f t="shared" si="2"/>
        <v>0</v>
      </c>
    </row>
    <row r="13" spans="1:8" ht="18" customHeight="1" x14ac:dyDescent="0.35">
      <c r="A13" s="8" t="s">
        <v>21</v>
      </c>
      <c r="B13" s="9" t="s">
        <v>22</v>
      </c>
      <c r="C13" s="10">
        <v>23274252</v>
      </c>
      <c r="D13" s="9"/>
      <c r="E13" s="9"/>
      <c r="F13" s="9"/>
      <c r="G13" s="10">
        <v>23274252</v>
      </c>
      <c r="H13" s="9"/>
    </row>
    <row r="14" spans="1:8" ht="18" customHeight="1" x14ac:dyDescent="0.35">
      <c r="A14" s="5" t="s">
        <v>67</v>
      </c>
      <c r="B14" s="6" t="s">
        <v>68</v>
      </c>
      <c r="C14" s="6"/>
      <c r="D14" s="6"/>
      <c r="E14" s="7">
        <v>2875101.66</v>
      </c>
      <c r="F14" s="6"/>
      <c r="G14" s="7">
        <v>2875101.66</v>
      </c>
      <c r="H14" s="6"/>
    </row>
    <row r="15" spans="1:8" ht="18" customHeight="1" x14ac:dyDescent="0.35">
      <c r="A15" s="2" t="s">
        <v>25</v>
      </c>
      <c r="B15" s="3" t="s">
        <v>26</v>
      </c>
      <c r="C15" s="3">
        <f>SUM(C16:C35)</f>
        <v>0</v>
      </c>
      <c r="D15" s="3">
        <f t="shared" ref="D15:H15" si="3">SUM(D16:D35)</f>
        <v>15759395.5</v>
      </c>
      <c r="E15" s="3">
        <f t="shared" si="3"/>
        <v>8898765.3599999994</v>
      </c>
      <c r="F15" s="3">
        <f t="shared" si="3"/>
        <v>2405965.36</v>
      </c>
      <c r="G15" s="3">
        <f t="shared" si="3"/>
        <v>0</v>
      </c>
      <c r="H15" s="3">
        <f t="shared" si="3"/>
        <v>9266595.5</v>
      </c>
    </row>
    <row r="16" spans="1:8" ht="18" customHeight="1" x14ac:dyDescent="0.35">
      <c r="A16" s="5" t="s">
        <v>69</v>
      </c>
      <c r="B16" s="6" t="s">
        <v>28</v>
      </c>
      <c r="C16" s="6"/>
      <c r="D16" s="7">
        <v>15757500</v>
      </c>
      <c r="E16" s="7">
        <v>6500000</v>
      </c>
      <c r="F16" s="6"/>
      <c r="G16" s="6"/>
      <c r="H16" s="7">
        <v>9257500</v>
      </c>
    </row>
    <row r="17" spans="1:8" ht="18" customHeight="1" x14ac:dyDescent="0.35">
      <c r="A17" s="8" t="s">
        <v>70</v>
      </c>
      <c r="B17" s="9" t="s">
        <v>71</v>
      </c>
      <c r="C17" s="9"/>
      <c r="D17" s="9"/>
      <c r="E17" s="10">
        <v>140954.76</v>
      </c>
      <c r="F17" s="10">
        <v>140954.76</v>
      </c>
      <c r="G17" s="9"/>
      <c r="H17" s="9"/>
    </row>
    <row r="18" spans="1:8" ht="18" customHeight="1" x14ac:dyDescent="0.35">
      <c r="A18" s="5" t="s">
        <v>72</v>
      </c>
      <c r="B18" s="6" t="s">
        <v>73</v>
      </c>
      <c r="C18" s="6"/>
      <c r="D18" s="6"/>
      <c r="E18" s="7">
        <v>1410</v>
      </c>
      <c r="F18" s="7">
        <v>1410</v>
      </c>
      <c r="G18" s="6"/>
      <c r="H18" s="6"/>
    </row>
    <row r="19" spans="1:8" ht="18" customHeight="1" x14ac:dyDescent="0.35">
      <c r="A19" s="8" t="s">
        <v>74</v>
      </c>
      <c r="B19" s="9" t="s">
        <v>75</v>
      </c>
      <c r="C19" s="9"/>
      <c r="D19" s="9"/>
      <c r="E19" s="10">
        <v>600</v>
      </c>
      <c r="F19" s="10">
        <v>600</v>
      </c>
      <c r="G19" s="9"/>
      <c r="H19" s="9"/>
    </row>
    <row r="20" spans="1:8" ht="18" customHeight="1" x14ac:dyDescent="0.35">
      <c r="A20" s="5" t="s">
        <v>76</v>
      </c>
      <c r="B20" s="6" t="s">
        <v>77</v>
      </c>
      <c r="C20" s="6"/>
      <c r="D20" s="6"/>
      <c r="E20" s="7">
        <v>2610</v>
      </c>
      <c r="F20" s="7">
        <v>2610</v>
      </c>
      <c r="G20" s="6"/>
      <c r="H20" s="6"/>
    </row>
    <row r="21" spans="1:8" ht="18" customHeight="1" x14ac:dyDescent="0.35">
      <c r="A21" s="8" t="s">
        <v>78</v>
      </c>
      <c r="B21" s="9" t="s">
        <v>79</v>
      </c>
      <c r="C21" s="9"/>
      <c r="D21" s="9"/>
      <c r="E21" s="10">
        <v>1953511.67</v>
      </c>
      <c r="F21" s="10">
        <v>1953511.67</v>
      </c>
      <c r="G21" s="9"/>
      <c r="H21" s="9"/>
    </row>
    <row r="22" spans="1:8" ht="18" customHeight="1" x14ac:dyDescent="0.35">
      <c r="A22" s="5" t="s">
        <v>80</v>
      </c>
      <c r="B22" s="6" t="s">
        <v>81</v>
      </c>
      <c r="C22" s="6"/>
      <c r="D22" s="6"/>
      <c r="E22" s="7">
        <v>14400</v>
      </c>
      <c r="F22" s="7">
        <v>21600</v>
      </c>
      <c r="G22" s="6"/>
      <c r="H22" s="7">
        <v>7200</v>
      </c>
    </row>
    <row r="23" spans="1:8" ht="18" customHeight="1" x14ac:dyDescent="0.35">
      <c r="A23" s="8" t="s">
        <v>82</v>
      </c>
      <c r="B23" s="9" t="s">
        <v>83</v>
      </c>
      <c r="C23" s="9"/>
      <c r="D23" s="9"/>
      <c r="E23" s="10">
        <v>210000</v>
      </c>
      <c r="F23" s="10">
        <v>210000</v>
      </c>
      <c r="G23" s="9"/>
      <c r="H23" s="9"/>
    </row>
    <row r="24" spans="1:8" ht="18" customHeight="1" x14ac:dyDescent="0.35">
      <c r="A24" s="5" t="s">
        <v>84</v>
      </c>
      <c r="B24" s="6" t="s">
        <v>85</v>
      </c>
      <c r="C24" s="6"/>
      <c r="D24" s="6"/>
      <c r="E24" s="7">
        <v>51600</v>
      </c>
      <c r="F24" s="7">
        <v>51600</v>
      </c>
      <c r="G24" s="6"/>
      <c r="H24" s="6"/>
    </row>
    <row r="25" spans="1:8" ht="18" customHeight="1" x14ac:dyDescent="0.35">
      <c r="A25" s="8" t="s">
        <v>86</v>
      </c>
      <c r="B25" s="9" t="s">
        <v>87</v>
      </c>
      <c r="C25" s="9"/>
      <c r="D25" s="9"/>
      <c r="E25" s="10">
        <v>5994</v>
      </c>
      <c r="F25" s="10">
        <v>5994</v>
      </c>
      <c r="G25" s="9"/>
      <c r="H25" s="9"/>
    </row>
    <row r="26" spans="1:8" ht="18" customHeight="1" x14ac:dyDescent="0.35">
      <c r="A26" s="5" t="s">
        <v>88</v>
      </c>
      <c r="B26" s="6" t="s">
        <v>89</v>
      </c>
      <c r="C26" s="6"/>
      <c r="D26" s="6"/>
      <c r="E26" s="7">
        <v>3708.29</v>
      </c>
      <c r="F26" s="7">
        <v>3708.29</v>
      </c>
      <c r="G26" s="6"/>
      <c r="H26" s="6"/>
    </row>
    <row r="27" spans="1:8" ht="18" customHeight="1" x14ac:dyDescent="0.35">
      <c r="A27" s="8" t="s">
        <v>29</v>
      </c>
      <c r="B27" s="9" t="s">
        <v>30</v>
      </c>
      <c r="C27" s="9"/>
      <c r="D27" s="10">
        <v>1895.5</v>
      </c>
      <c r="E27" s="9"/>
      <c r="F27" s="9"/>
      <c r="G27" s="9"/>
      <c r="H27" s="10">
        <v>1895.5</v>
      </c>
    </row>
    <row r="28" spans="1:8" ht="18" customHeight="1" x14ac:dyDescent="0.35">
      <c r="A28" s="5" t="s">
        <v>90</v>
      </c>
      <c r="B28" s="6" t="s">
        <v>91</v>
      </c>
      <c r="C28" s="6"/>
      <c r="D28" s="6"/>
      <c r="E28" s="7">
        <v>3013.2</v>
      </c>
      <c r="F28" s="7">
        <v>3013.2</v>
      </c>
      <c r="G28" s="6"/>
      <c r="H28" s="6"/>
    </row>
    <row r="29" spans="1:8" ht="18" customHeight="1" x14ac:dyDescent="0.35">
      <c r="A29" s="8" t="s">
        <v>92</v>
      </c>
      <c r="B29" s="9" t="s">
        <v>93</v>
      </c>
      <c r="C29" s="9"/>
      <c r="D29" s="9"/>
      <c r="E29" s="10">
        <v>3417.68</v>
      </c>
      <c r="F29" s="10">
        <v>3417.68</v>
      </c>
      <c r="G29" s="9"/>
      <c r="H29" s="9"/>
    </row>
    <row r="30" spans="1:8" ht="18" customHeight="1" x14ac:dyDescent="0.35">
      <c r="A30" s="5" t="s">
        <v>94</v>
      </c>
      <c r="B30" s="6" t="s">
        <v>95</v>
      </c>
      <c r="C30" s="6"/>
      <c r="D30" s="6"/>
      <c r="E30" s="7">
        <v>1706</v>
      </c>
      <c r="F30" s="7">
        <v>1706</v>
      </c>
      <c r="G30" s="6"/>
      <c r="H30" s="6"/>
    </row>
    <row r="31" spans="1:8" ht="18" customHeight="1" x14ac:dyDescent="0.35">
      <c r="A31" s="8" t="s">
        <v>96</v>
      </c>
      <c r="B31" s="9" t="s">
        <v>97</v>
      </c>
      <c r="C31" s="9"/>
      <c r="D31" s="9"/>
      <c r="E31" s="10">
        <v>3419.05</v>
      </c>
      <c r="F31" s="10">
        <v>3419.05</v>
      </c>
      <c r="G31" s="9"/>
      <c r="H31" s="9"/>
    </row>
    <row r="32" spans="1:8" ht="18" customHeight="1" x14ac:dyDescent="0.35">
      <c r="A32" s="5" t="s">
        <v>98</v>
      </c>
      <c r="B32" s="6" t="s">
        <v>99</v>
      </c>
      <c r="C32" s="6"/>
      <c r="D32" s="6"/>
      <c r="E32" s="7">
        <v>852</v>
      </c>
      <c r="F32" s="7">
        <v>852</v>
      </c>
      <c r="G32" s="6"/>
      <c r="H32" s="6"/>
    </row>
    <row r="33" spans="1:8" ht="18" customHeight="1" x14ac:dyDescent="0.35">
      <c r="A33" s="8" t="s">
        <v>100</v>
      </c>
      <c r="B33" s="9" t="s">
        <v>101</v>
      </c>
      <c r="C33" s="9"/>
      <c r="D33" s="9"/>
      <c r="E33" s="10">
        <v>299.16000000000003</v>
      </c>
      <c r="F33" s="10">
        <v>299.16000000000003</v>
      </c>
      <c r="G33" s="9"/>
      <c r="H33" s="9"/>
    </row>
    <row r="34" spans="1:8" ht="18" customHeight="1" x14ac:dyDescent="0.35">
      <c r="A34" s="5" t="s">
        <v>102</v>
      </c>
      <c r="B34" s="6" t="s">
        <v>103</v>
      </c>
      <c r="C34" s="6"/>
      <c r="D34" s="6"/>
      <c r="E34" s="7">
        <v>1169.3</v>
      </c>
      <c r="F34" s="7">
        <v>1169.3</v>
      </c>
      <c r="G34" s="6"/>
      <c r="H34" s="6"/>
    </row>
    <row r="35" spans="1:8" ht="18" customHeight="1" x14ac:dyDescent="0.35">
      <c r="A35" s="8" t="s">
        <v>104</v>
      </c>
      <c r="B35" s="9" t="s">
        <v>105</v>
      </c>
      <c r="C35" s="9"/>
      <c r="D35" s="9"/>
      <c r="E35" s="10">
        <v>100.25</v>
      </c>
      <c r="F35" s="10">
        <v>100.25</v>
      </c>
      <c r="G35" s="9"/>
      <c r="H35" s="9"/>
    </row>
    <row r="36" spans="1:8" ht="18" customHeight="1" x14ac:dyDescent="0.35">
      <c r="A36" s="2" t="s">
        <v>33</v>
      </c>
      <c r="B36" s="3" t="s">
        <v>34</v>
      </c>
      <c r="C36" s="4">
        <f>SUM(C37:C41)</f>
        <v>336567.7</v>
      </c>
      <c r="D36" s="4">
        <f t="shared" ref="D36:H36" si="4">SUM(D37:D41)</f>
        <v>0</v>
      </c>
      <c r="E36" s="4">
        <f t="shared" si="4"/>
        <v>10768929.82</v>
      </c>
      <c r="F36" s="4">
        <f t="shared" si="4"/>
        <v>9751621.5800000001</v>
      </c>
      <c r="G36" s="4">
        <f t="shared" si="4"/>
        <v>1353875.94</v>
      </c>
      <c r="H36" s="4">
        <f t="shared" si="4"/>
        <v>0</v>
      </c>
    </row>
    <row r="37" spans="1:8" ht="18" customHeight="1" x14ac:dyDescent="0.35">
      <c r="A37" s="8" t="s">
        <v>106</v>
      </c>
      <c r="B37" s="9" t="s">
        <v>107</v>
      </c>
      <c r="C37" s="9"/>
      <c r="D37" s="9"/>
      <c r="E37" s="10">
        <v>155400</v>
      </c>
      <c r="F37" s="10">
        <v>155400</v>
      </c>
      <c r="G37" s="9"/>
      <c r="H37" s="9"/>
    </row>
    <row r="38" spans="1:8" ht="18" customHeight="1" x14ac:dyDescent="0.35">
      <c r="A38" s="5" t="s">
        <v>35</v>
      </c>
      <c r="B38" s="6" t="s">
        <v>36</v>
      </c>
      <c r="C38" s="7">
        <v>3974.4</v>
      </c>
      <c r="D38" s="6"/>
      <c r="E38" s="6"/>
      <c r="F38" s="7">
        <v>286</v>
      </c>
      <c r="G38" s="7">
        <v>3688.4</v>
      </c>
      <c r="H38" s="6"/>
    </row>
    <row r="39" spans="1:8" ht="18" customHeight="1" x14ac:dyDescent="0.35">
      <c r="A39" s="8" t="s">
        <v>37</v>
      </c>
      <c r="B39" s="9" t="s">
        <v>38</v>
      </c>
      <c r="C39" s="10">
        <v>47819.5</v>
      </c>
      <c r="D39" s="9"/>
      <c r="E39" s="10">
        <v>165029.82</v>
      </c>
      <c r="F39" s="10">
        <v>153076</v>
      </c>
      <c r="G39" s="10">
        <v>59773.32</v>
      </c>
      <c r="H39" s="9"/>
    </row>
    <row r="40" spans="1:8" ht="18" customHeight="1" x14ac:dyDescent="0.35">
      <c r="A40" s="5" t="s">
        <v>39</v>
      </c>
      <c r="B40" s="6" t="s">
        <v>40</v>
      </c>
      <c r="C40" s="7">
        <v>284773.8</v>
      </c>
      <c r="D40" s="6"/>
      <c r="E40" s="7">
        <v>10433500</v>
      </c>
      <c r="F40" s="7">
        <v>9428993.8200000003</v>
      </c>
      <c r="G40" s="7">
        <v>1289279.98</v>
      </c>
      <c r="H40" s="6"/>
    </row>
    <row r="41" spans="1:8" ht="18" customHeight="1" x14ac:dyDescent="0.35">
      <c r="A41" s="8" t="s">
        <v>108</v>
      </c>
      <c r="B41" s="9" t="s">
        <v>109</v>
      </c>
      <c r="C41" s="9"/>
      <c r="D41" s="9"/>
      <c r="E41" s="10">
        <v>15000</v>
      </c>
      <c r="F41" s="10">
        <v>13865.76</v>
      </c>
      <c r="G41" s="10">
        <v>1134.24</v>
      </c>
      <c r="H41" s="9"/>
    </row>
    <row r="42" spans="1:8" ht="18" customHeight="1" x14ac:dyDescent="0.35">
      <c r="A42" s="2" t="s">
        <v>41</v>
      </c>
      <c r="B42" s="3" t="s">
        <v>42</v>
      </c>
      <c r="C42" s="3">
        <f>SUM(C43:C60)</f>
        <v>0</v>
      </c>
      <c r="D42" s="3">
        <f t="shared" ref="D42:H42" si="5">SUM(D43:D60)</f>
        <v>0</v>
      </c>
      <c r="E42" s="15">
        <f>SUM(E43:E60)</f>
        <v>2899079.18</v>
      </c>
      <c r="F42" s="3">
        <f t="shared" si="5"/>
        <v>0</v>
      </c>
      <c r="G42" s="15">
        <f>SUM(G43:G60)</f>
        <v>2899079.18</v>
      </c>
      <c r="H42" s="3">
        <f t="shared" si="5"/>
        <v>0</v>
      </c>
    </row>
    <row r="43" spans="1:8" ht="18" customHeight="1" x14ac:dyDescent="0.35">
      <c r="A43" s="8" t="s">
        <v>110</v>
      </c>
      <c r="B43" s="9" t="s">
        <v>111</v>
      </c>
      <c r="C43" s="9"/>
      <c r="D43" s="9"/>
      <c r="E43" s="10">
        <v>4423.2</v>
      </c>
      <c r="F43" s="9"/>
      <c r="G43" s="10">
        <v>4423.2</v>
      </c>
      <c r="H43" s="9"/>
    </row>
    <row r="44" spans="1:8" ht="18" customHeight="1" x14ac:dyDescent="0.35">
      <c r="A44" s="5" t="s">
        <v>112</v>
      </c>
      <c r="B44" s="6" t="s">
        <v>113</v>
      </c>
      <c r="C44" s="6"/>
      <c r="D44" s="6"/>
      <c r="E44" s="7">
        <v>100.25</v>
      </c>
      <c r="F44" s="6"/>
      <c r="G44" s="7">
        <v>100.25</v>
      </c>
      <c r="H44" s="6"/>
    </row>
    <row r="45" spans="1:8" ht="18" customHeight="1" x14ac:dyDescent="0.35">
      <c r="A45" s="8" t="s">
        <v>114</v>
      </c>
      <c r="B45" s="9" t="s">
        <v>115</v>
      </c>
      <c r="C45" s="9"/>
      <c r="D45" s="9"/>
      <c r="E45" s="10">
        <v>1417.68</v>
      </c>
      <c r="F45" s="9"/>
      <c r="G45" s="10">
        <v>1417.68</v>
      </c>
      <c r="H45" s="9"/>
    </row>
    <row r="46" spans="1:8" ht="18" customHeight="1" x14ac:dyDescent="0.35">
      <c r="A46" s="5" t="s">
        <v>116</v>
      </c>
      <c r="B46" s="6" t="s">
        <v>117</v>
      </c>
      <c r="C46" s="6"/>
      <c r="D46" s="6"/>
      <c r="E46" s="7">
        <v>4308.29</v>
      </c>
      <c r="F46" s="6"/>
      <c r="G46" s="7">
        <v>4308.29</v>
      </c>
      <c r="H46" s="6"/>
    </row>
    <row r="47" spans="1:8" ht="18" customHeight="1" x14ac:dyDescent="0.35">
      <c r="A47" s="8" t="s">
        <v>118</v>
      </c>
      <c r="B47" s="9" t="s">
        <v>119</v>
      </c>
      <c r="C47" s="9"/>
      <c r="D47" s="9"/>
      <c r="E47" s="10">
        <v>2094466.43</v>
      </c>
      <c r="F47" s="9"/>
      <c r="G47" s="10">
        <v>2094466.43</v>
      </c>
      <c r="H47" s="9"/>
    </row>
    <row r="48" spans="1:8" ht="18" customHeight="1" x14ac:dyDescent="0.35">
      <c r="A48" s="5" t="s">
        <v>120</v>
      </c>
      <c r="B48" s="6" t="s">
        <v>121</v>
      </c>
      <c r="C48" s="6"/>
      <c r="D48" s="6"/>
      <c r="E48" s="7">
        <v>221457.16</v>
      </c>
      <c r="F48" s="6"/>
      <c r="G48" s="7">
        <v>221457.16</v>
      </c>
      <c r="H48" s="6"/>
    </row>
    <row r="49" spans="1:8" ht="18" customHeight="1" x14ac:dyDescent="0.35">
      <c r="A49" s="8" t="s">
        <v>122</v>
      </c>
      <c r="B49" s="9" t="s">
        <v>123</v>
      </c>
      <c r="C49" s="9"/>
      <c r="D49" s="9"/>
      <c r="E49" s="10">
        <v>15000</v>
      </c>
      <c r="F49" s="9"/>
      <c r="G49" s="10">
        <v>15000</v>
      </c>
      <c r="H49" s="9"/>
    </row>
    <row r="50" spans="1:8" ht="18" customHeight="1" x14ac:dyDescent="0.35">
      <c r="A50" s="5" t="s">
        <v>124</v>
      </c>
      <c r="B50" s="6" t="s">
        <v>125</v>
      </c>
      <c r="C50" s="6"/>
      <c r="D50" s="6"/>
      <c r="E50" s="7">
        <v>51600</v>
      </c>
      <c r="F50" s="6"/>
      <c r="G50" s="7">
        <v>51600</v>
      </c>
      <c r="H50" s="6"/>
    </row>
    <row r="51" spans="1:8" ht="18" customHeight="1" x14ac:dyDescent="0.35">
      <c r="A51" s="8" t="s">
        <v>126</v>
      </c>
      <c r="B51" s="9" t="s">
        <v>127</v>
      </c>
      <c r="C51" s="9"/>
      <c r="D51" s="9"/>
      <c r="E51" s="10">
        <v>7700</v>
      </c>
      <c r="F51" s="9"/>
      <c r="G51" s="10">
        <v>7700</v>
      </c>
      <c r="H51" s="9"/>
    </row>
    <row r="52" spans="1:8" ht="18" customHeight="1" x14ac:dyDescent="0.35">
      <c r="A52" s="5" t="s">
        <v>128</v>
      </c>
      <c r="B52" s="6" t="s">
        <v>129</v>
      </c>
      <c r="C52" s="6"/>
      <c r="D52" s="6"/>
      <c r="E52" s="7">
        <v>2000</v>
      </c>
      <c r="F52" s="6"/>
      <c r="G52" s="7">
        <v>2000</v>
      </c>
      <c r="H52" s="6"/>
    </row>
    <row r="53" spans="1:8" ht="18" customHeight="1" x14ac:dyDescent="0.35">
      <c r="A53" s="8" t="s">
        <v>130</v>
      </c>
      <c r="B53" s="9" t="s">
        <v>131</v>
      </c>
      <c r="C53" s="9"/>
      <c r="D53" s="9"/>
      <c r="E53" s="10">
        <v>2610</v>
      </c>
      <c r="F53" s="9"/>
      <c r="G53" s="10">
        <v>2610</v>
      </c>
      <c r="H53" s="9"/>
    </row>
    <row r="54" spans="1:8" ht="18" customHeight="1" x14ac:dyDescent="0.35">
      <c r="A54" s="5" t="s">
        <v>132</v>
      </c>
      <c r="B54" s="6" t="s">
        <v>133</v>
      </c>
      <c r="C54" s="6"/>
      <c r="D54" s="6"/>
      <c r="E54" s="7">
        <v>1169.3</v>
      </c>
      <c r="F54" s="6"/>
      <c r="G54" s="7">
        <v>1169.3</v>
      </c>
      <c r="H54" s="6"/>
    </row>
    <row r="55" spans="1:8" ht="18" customHeight="1" x14ac:dyDescent="0.35">
      <c r="A55" s="8" t="s">
        <v>45</v>
      </c>
      <c r="B55" s="9" t="s">
        <v>46</v>
      </c>
      <c r="C55" s="9"/>
      <c r="D55" s="9"/>
      <c r="E55" s="10">
        <v>2011.52</v>
      </c>
      <c r="F55" s="9"/>
      <c r="G55" s="10">
        <v>2011.52</v>
      </c>
      <c r="H55" s="9"/>
    </row>
    <row r="56" spans="1:8" ht="18" customHeight="1" x14ac:dyDescent="0.35">
      <c r="A56" s="5" t="s">
        <v>134</v>
      </c>
      <c r="B56" s="6" t="s">
        <v>135</v>
      </c>
      <c r="C56" s="6"/>
      <c r="D56" s="6"/>
      <c r="E56" s="7">
        <v>65183</v>
      </c>
      <c r="F56" s="6"/>
      <c r="G56" s="7">
        <v>65183</v>
      </c>
      <c r="H56" s="6"/>
    </row>
    <row r="57" spans="1:8" ht="18" customHeight="1" x14ac:dyDescent="0.35">
      <c r="A57" s="8" t="s">
        <v>136</v>
      </c>
      <c r="B57" s="9" t="s">
        <v>137</v>
      </c>
      <c r="C57" s="9"/>
      <c r="D57" s="9"/>
      <c r="E57" s="10">
        <v>3174.7</v>
      </c>
      <c r="F57" s="9"/>
      <c r="G57" s="10">
        <v>3174.7</v>
      </c>
      <c r="H57" s="9"/>
    </row>
    <row r="58" spans="1:8" ht="18" customHeight="1" x14ac:dyDescent="0.35">
      <c r="A58" s="5" t="s">
        <v>138</v>
      </c>
      <c r="B58" s="6" t="s">
        <v>139</v>
      </c>
      <c r="C58" s="6"/>
      <c r="D58" s="6"/>
      <c r="E58" s="7">
        <v>421975</v>
      </c>
      <c r="F58" s="6"/>
      <c r="G58" s="7">
        <v>421975</v>
      </c>
      <c r="H58" s="6"/>
    </row>
    <row r="59" spans="1:8" ht="18" customHeight="1" x14ac:dyDescent="0.35">
      <c r="A59" s="8" t="s">
        <v>140</v>
      </c>
      <c r="B59" s="9" t="s">
        <v>141</v>
      </c>
      <c r="C59" s="9"/>
      <c r="D59" s="9"/>
      <c r="E59" s="10">
        <v>12</v>
      </c>
      <c r="F59" s="9"/>
      <c r="G59" s="10">
        <v>12</v>
      </c>
      <c r="H59" s="9"/>
    </row>
    <row r="60" spans="1:8" ht="18" customHeight="1" x14ac:dyDescent="0.35">
      <c r="A60" s="5" t="s">
        <v>142</v>
      </c>
      <c r="B60" s="6" t="s">
        <v>143</v>
      </c>
      <c r="C60" s="6"/>
      <c r="D60" s="6"/>
      <c r="E60" s="7">
        <v>470.65</v>
      </c>
      <c r="F60" s="6"/>
      <c r="G60" s="7">
        <v>470.65</v>
      </c>
      <c r="H60" s="6"/>
    </row>
    <row r="61" spans="1:8" ht="18" customHeight="1" x14ac:dyDescent="0.35">
      <c r="A61" s="2" t="s">
        <v>49</v>
      </c>
      <c r="B61" s="3" t="s">
        <v>50</v>
      </c>
      <c r="C61" s="3">
        <f>SUM(C62)</f>
        <v>0</v>
      </c>
      <c r="D61" s="3">
        <f t="shared" ref="D61:H61" si="6">SUM(D62)</f>
        <v>0</v>
      </c>
      <c r="E61" s="3">
        <f t="shared" si="6"/>
        <v>0</v>
      </c>
      <c r="F61" s="3">
        <f t="shared" si="6"/>
        <v>2875101.66</v>
      </c>
      <c r="G61" s="3">
        <f t="shared" si="6"/>
        <v>0</v>
      </c>
      <c r="H61" s="3">
        <f t="shared" si="6"/>
        <v>2875101.66</v>
      </c>
    </row>
    <row r="62" spans="1:8" ht="18" customHeight="1" x14ac:dyDescent="0.35">
      <c r="A62" s="5" t="s">
        <v>144</v>
      </c>
      <c r="B62" s="6" t="s">
        <v>145</v>
      </c>
      <c r="C62" s="6"/>
      <c r="D62" s="6"/>
      <c r="E62" s="6"/>
      <c r="F62" s="7">
        <v>2875101.66</v>
      </c>
      <c r="G62" s="6"/>
      <c r="H62" s="7">
        <v>2875101.66</v>
      </c>
    </row>
    <row r="63" spans="1:8" ht="18" customHeight="1" x14ac:dyDescent="0.35">
      <c r="A63" s="11"/>
      <c r="B63" s="12" t="s">
        <v>55</v>
      </c>
      <c r="C63" s="13">
        <f>C3+C7+C12+C15+C36+C42+C61</f>
        <v>23612011</v>
      </c>
      <c r="D63" s="13">
        <f t="shared" ref="D63:H63" si="7">D3+D7+D12+D15+D36+D42+D61</f>
        <v>23612011</v>
      </c>
      <c r="E63" s="13">
        <f>E3+E7+E12+E15+E36+E42+E61</f>
        <v>25492689.07</v>
      </c>
      <c r="F63" s="13">
        <f t="shared" si="7"/>
        <v>25492689.07</v>
      </c>
      <c r="G63" s="13">
        <f>G3+G7+G12+G15+G36+G42+G61</f>
        <v>30411721.830000002</v>
      </c>
      <c r="H63" s="13">
        <f t="shared" si="7"/>
        <v>30411721.829999998</v>
      </c>
    </row>
    <row r="64" spans="1:8" x14ac:dyDescent="0.35">
      <c r="C64" t="s">
        <v>207</v>
      </c>
      <c r="D64">
        <f>F61-E42</f>
        <v>-23977.520000000019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"/>
  <sheetViews>
    <sheetView topLeftCell="A34" workbookViewId="0">
      <selection activeCell="A48" sqref="A48:XFD48"/>
    </sheetView>
  </sheetViews>
  <sheetFormatPr baseColWidth="10" defaultColWidth="8.7265625" defaultRowHeight="14.5" x14ac:dyDescent="0.35"/>
  <cols>
    <col min="1" max="1" width="16" customWidth="1"/>
    <col min="2" max="2" width="38" customWidth="1"/>
    <col min="3" max="8" width="18" customWidth="1"/>
  </cols>
  <sheetData>
    <row r="1" spans="1:8" ht="30" customHeight="1" x14ac:dyDescent="0.35">
      <c r="A1" s="17" t="s">
        <v>146</v>
      </c>
      <c r="B1" s="18"/>
      <c r="C1" s="18"/>
      <c r="D1" s="18"/>
      <c r="E1" s="18"/>
      <c r="F1" s="18"/>
      <c r="G1" s="18"/>
      <c r="H1" s="18"/>
    </row>
    <row r="2" spans="1:8" ht="3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8" customHeight="1" x14ac:dyDescent="0.35">
      <c r="A3" s="2" t="s">
        <v>9</v>
      </c>
      <c r="B3" s="3" t="s">
        <v>10</v>
      </c>
      <c r="C3" s="4">
        <f>SUM(C4:C6)</f>
        <v>23977.52</v>
      </c>
      <c r="D3" s="4">
        <f t="shared" ref="D3:H3" si="0">SUM(D4:D6)</f>
        <v>18269554.02</v>
      </c>
      <c r="E3" s="4">
        <f t="shared" si="0"/>
        <v>1195477.52</v>
      </c>
      <c r="F3" s="4">
        <f t="shared" si="0"/>
        <v>44210182.380000003</v>
      </c>
      <c r="G3" s="4">
        <f t="shared" si="0"/>
        <v>23106.62</v>
      </c>
      <c r="H3" s="4">
        <f t="shared" si="0"/>
        <v>61283387.979999997</v>
      </c>
    </row>
    <row r="4" spans="1:8" ht="18" customHeight="1" x14ac:dyDescent="0.35">
      <c r="A4" s="5" t="s">
        <v>11</v>
      </c>
      <c r="B4" s="6" t="s">
        <v>12</v>
      </c>
      <c r="C4" s="6"/>
      <c r="D4" s="7">
        <v>18268683.120000001</v>
      </c>
      <c r="E4" s="7">
        <v>1171500</v>
      </c>
      <c r="F4" s="7">
        <v>44186204.859999999</v>
      </c>
      <c r="G4" s="6"/>
      <c r="H4" s="7">
        <v>61283387.979999997</v>
      </c>
    </row>
    <row r="5" spans="1:8" ht="18" customHeight="1" x14ac:dyDescent="0.35">
      <c r="A5" s="8" t="s">
        <v>13</v>
      </c>
      <c r="B5" s="9" t="s">
        <v>14</v>
      </c>
      <c r="C5" s="9"/>
      <c r="D5" s="10">
        <v>870.9</v>
      </c>
      <c r="E5" s="10">
        <v>23977.52</v>
      </c>
      <c r="F5" s="9"/>
      <c r="G5" s="10">
        <v>23106.62</v>
      </c>
      <c r="H5" s="9"/>
    </row>
    <row r="6" spans="1:8" ht="18" customHeight="1" x14ac:dyDescent="0.35">
      <c r="A6" s="5" t="s">
        <v>17</v>
      </c>
      <c r="B6" s="6" t="s">
        <v>18</v>
      </c>
      <c r="C6" s="7">
        <v>23977.52</v>
      </c>
      <c r="D6" s="6"/>
      <c r="E6" s="6"/>
      <c r="F6" s="7">
        <v>23977.52</v>
      </c>
      <c r="G6" s="6"/>
      <c r="H6" s="6"/>
    </row>
    <row r="7" spans="1:8" ht="18" customHeight="1" x14ac:dyDescent="0.35">
      <c r="A7" s="2" t="s">
        <v>57</v>
      </c>
      <c r="B7" s="3" t="s">
        <v>58</v>
      </c>
      <c r="C7" s="4">
        <f>SUM(C8:C11)</f>
        <v>9413.0499999999993</v>
      </c>
      <c r="D7" s="4">
        <f t="shared" ref="D7:H7" si="1">SUM(D8:D11)</f>
        <v>470.65</v>
      </c>
      <c r="E7" s="4">
        <f t="shared" si="1"/>
        <v>100800</v>
      </c>
      <c r="F7" s="4">
        <f t="shared" si="1"/>
        <v>3931.96</v>
      </c>
      <c r="G7" s="4">
        <f t="shared" si="1"/>
        <v>110213.05</v>
      </c>
      <c r="H7" s="4">
        <f t="shared" si="1"/>
        <v>4402.6100000000006</v>
      </c>
    </row>
    <row r="8" spans="1:8" ht="18" customHeight="1" x14ac:dyDescent="0.35">
      <c r="A8" s="5" t="s">
        <v>59</v>
      </c>
      <c r="B8" s="6" t="s">
        <v>60</v>
      </c>
      <c r="C8" s="7">
        <v>5994</v>
      </c>
      <c r="D8" s="6"/>
      <c r="E8" s="7">
        <v>100800</v>
      </c>
      <c r="F8" s="6"/>
      <c r="G8" s="7">
        <v>106794</v>
      </c>
      <c r="H8" s="6"/>
    </row>
    <row r="9" spans="1:8" ht="18" customHeight="1" x14ac:dyDescent="0.35">
      <c r="A9" s="8" t="s">
        <v>61</v>
      </c>
      <c r="B9" s="9" t="s">
        <v>62</v>
      </c>
      <c r="C9" s="10">
        <v>3419.05</v>
      </c>
      <c r="D9" s="9"/>
      <c r="E9" s="9"/>
      <c r="F9" s="9"/>
      <c r="G9" s="10">
        <v>3419.05</v>
      </c>
      <c r="H9" s="9"/>
    </row>
    <row r="10" spans="1:8" ht="18" customHeight="1" x14ac:dyDescent="0.35">
      <c r="A10" s="5" t="s">
        <v>63</v>
      </c>
      <c r="B10" s="6" t="s">
        <v>64</v>
      </c>
      <c r="C10" s="6"/>
      <c r="D10" s="7">
        <v>299.7</v>
      </c>
      <c r="E10" s="6"/>
      <c r="F10" s="7">
        <v>3419.1</v>
      </c>
      <c r="G10" s="6"/>
      <c r="H10" s="7">
        <v>3718.8</v>
      </c>
    </row>
    <row r="11" spans="1:8" ht="18" customHeight="1" x14ac:dyDescent="0.35">
      <c r="A11" s="8" t="s">
        <v>65</v>
      </c>
      <c r="B11" s="9" t="s">
        <v>66</v>
      </c>
      <c r="C11" s="9"/>
      <c r="D11" s="10">
        <v>170.95</v>
      </c>
      <c r="E11" s="9"/>
      <c r="F11" s="10">
        <v>512.86</v>
      </c>
      <c r="G11" s="9"/>
      <c r="H11" s="10">
        <v>683.81</v>
      </c>
    </row>
    <row r="12" spans="1:8" ht="18" customHeight="1" x14ac:dyDescent="0.35">
      <c r="A12" s="2" t="s">
        <v>19</v>
      </c>
      <c r="B12" s="3" t="s">
        <v>20</v>
      </c>
      <c r="C12" s="4">
        <f>SUM(C13:C14)</f>
        <v>26149353.66</v>
      </c>
      <c r="D12" s="4">
        <f t="shared" ref="D12:H12" si="2">SUM(D13:D14)</f>
        <v>0</v>
      </c>
      <c r="E12" s="4">
        <f t="shared" si="2"/>
        <v>22655204.399999999</v>
      </c>
      <c r="F12" s="4">
        <f t="shared" si="2"/>
        <v>0</v>
      </c>
      <c r="G12" s="4">
        <f t="shared" si="2"/>
        <v>48804558.060000002</v>
      </c>
      <c r="H12" s="4">
        <f t="shared" si="2"/>
        <v>0</v>
      </c>
    </row>
    <row r="13" spans="1:8" ht="18" customHeight="1" x14ac:dyDescent="0.35">
      <c r="A13" s="8" t="s">
        <v>67</v>
      </c>
      <c r="B13" s="9" t="s">
        <v>68</v>
      </c>
      <c r="C13" s="10">
        <v>26149353.66</v>
      </c>
      <c r="D13" s="9"/>
      <c r="E13" s="9"/>
      <c r="F13" s="9"/>
      <c r="G13" s="10">
        <v>26149353.66</v>
      </c>
      <c r="H13" s="9"/>
    </row>
    <row r="14" spans="1:8" ht="18" customHeight="1" x14ac:dyDescent="0.35">
      <c r="A14" s="5" t="s">
        <v>147</v>
      </c>
      <c r="B14" s="6" t="s">
        <v>148</v>
      </c>
      <c r="C14" s="6"/>
      <c r="D14" s="6"/>
      <c r="E14" s="7">
        <v>22655204.399999999</v>
      </c>
      <c r="F14" s="6"/>
      <c r="G14" s="7">
        <v>22655204.399999999</v>
      </c>
      <c r="H14" s="6"/>
    </row>
    <row r="15" spans="1:8" ht="18" customHeight="1" x14ac:dyDescent="0.35">
      <c r="A15" s="2" t="s">
        <v>25</v>
      </c>
      <c r="B15" s="3" t="s">
        <v>26</v>
      </c>
      <c r="C15" s="3">
        <f>SUM(C16:C27)</f>
        <v>0</v>
      </c>
      <c r="D15" s="3">
        <f t="shared" ref="D15:H15" si="3">SUM(D16:D27)</f>
        <v>9266595.5</v>
      </c>
      <c r="E15" s="3">
        <f t="shared" si="3"/>
        <v>31947583.960000001</v>
      </c>
      <c r="F15" s="3">
        <f t="shared" si="3"/>
        <v>22682883.960000001</v>
      </c>
      <c r="G15" s="3">
        <f t="shared" si="3"/>
        <v>0</v>
      </c>
      <c r="H15" s="3">
        <f t="shared" si="3"/>
        <v>1895.5</v>
      </c>
    </row>
    <row r="16" spans="1:8" ht="18" customHeight="1" x14ac:dyDescent="0.35">
      <c r="A16" s="5" t="s">
        <v>69</v>
      </c>
      <c r="B16" s="6" t="s">
        <v>28</v>
      </c>
      <c r="C16" s="6"/>
      <c r="D16" s="7">
        <v>9257500</v>
      </c>
      <c r="E16" s="7">
        <v>9257500</v>
      </c>
      <c r="F16" s="6"/>
      <c r="G16" s="6"/>
      <c r="H16" s="6"/>
    </row>
    <row r="17" spans="1:8" ht="18" customHeight="1" x14ac:dyDescent="0.35">
      <c r="A17" s="8" t="s">
        <v>76</v>
      </c>
      <c r="B17" s="9" t="s">
        <v>77</v>
      </c>
      <c r="C17" s="9"/>
      <c r="D17" s="9"/>
      <c r="E17" s="10">
        <v>4120</v>
      </c>
      <c r="F17" s="10">
        <v>4120</v>
      </c>
      <c r="G17" s="9"/>
      <c r="H17" s="9"/>
    </row>
    <row r="18" spans="1:8" ht="18" customHeight="1" x14ac:dyDescent="0.35">
      <c r="A18" s="5" t="s">
        <v>78</v>
      </c>
      <c r="B18" s="6" t="s">
        <v>79</v>
      </c>
      <c r="C18" s="6"/>
      <c r="D18" s="6"/>
      <c r="E18" s="7">
        <v>21758868.940000001</v>
      </c>
      <c r="F18" s="7">
        <v>21758868.940000001</v>
      </c>
      <c r="G18" s="6"/>
      <c r="H18" s="6"/>
    </row>
    <row r="19" spans="1:8" ht="18" customHeight="1" x14ac:dyDescent="0.35">
      <c r="A19" s="8" t="s">
        <v>80</v>
      </c>
      <c r="B19" s="9" t="s">
        <v>81</v>
      </c>
      <c r="C19" s="9"/>
      <c r="D19" s="10">
        <v>7200</v>
      </c>
      <c r="E19" s="10">
        <v>37320</v>
      </c>
      <c r="F19" s="10">
        <v>30120</v>
      </c>
      <c r="G19" s="9"/>
      <c r="H19" s="9"/>
    </row>
    <row r="20" spans="1:8" ht="18" customHeight="1" x14ac:dyDescent="0.35">
      <c r="A20" s="5" t="s">
        <v>82</v>
      </c>
      <c r="B20" s="6" t="s">
        <v>83</v>
      </c>
      <c r="C20" s="6"/>
      <c r="D20" s="6"/>
      <c r="E20" s="7">
        <v>330000</v>
      </c>
      <c r="F20" s="7">
        <v>330000</v>
      </c>
      <c r="G20" s="6"/>
      <c r="H20" s="6"/>
    </row>
    <row r="21" spans="1:8" ht="18" customHeight="1" x14ac:dyDescent="0.35">
      <c r="A21" s="8" t="s">
        <v>86</v>
      </c>
      <c r="B21" s="9" t="s">
        <v>87</v>
      </c>
      <c r="C21" s="9"/>
      <c r="D21" s="9"/>
      <c r="E21" s="10">
        <v>201600</v>
      </c>
      <c r="F21" s="10">
        <v>201600</v>
      </c>
      <c r="G21" s="9"/>
      <c r="H21" s="9"/>
    </row>
    <row r="22" spans="1:8" ht="18" customHeight="1" x14ac:dyDescent="0.35">
      <c r="A22" s="5" t="s">
        <v>29</v>
      </c>
      <c r="B22" s="6" t="s">
        <v>30</v>
      </c>
      <c r="C22" s="6"/>
      <c r="D22" s="7">
        <v>1895.5</v>
      </c>
      <c r="E22" s="6"/>
      <c r="F22" s="6"/>
      <c r="G22" s="6"/>
      <c r="H22" s="7">
        <v>1895.5</v>
      </c>
    </row>
    <row r="23" spans="1:8" ht="18" customHeight="1" x14ac:dyDescent="0.35">
      <c r="A23" s="8" t="s">
        <v>149</v>
      </c>
      <c r="B23" s="9" t="s">
        <v>150</v>
      </c>
      <c r="C23" s="9"/>
      <c r="D23" s="9"/>
      <c r="E23" s="10">
        <v>156000</v>
      </c>
      <c r="F23" s="10">
        <v>156000</v>
      </c>
      <c r="G23" s="9"/>
      <c r="H23" s="9"/>
    </row>
    <row r="24" spans="1:8" ht="18" customHeight="1" x14ac:dyDescent="0.35">
      <c r="A24" s="5" t="s">
        <v>151</v>
      </c>
      <c r="B24" s="6" t="s">
        <v>152</v>
      </c>
      <c r="C24" s="6"/>
      <c r="D24" s="6"/>
      <c r="E24" s="7">
        <v>197280</v>
      </c>
      <c r="F24" s="7">
        <v>197280</v>
      </c>
      <c r="G24" s="6"/>
      <c r="H24" s="6"/>
    </row>
    <row r="25" spans="1:8" ht="18" customHeight="1" x14ac:dyDescent="0.35">
      <c r="A25" s="8" t="s">
        <v>153</v>
      </c>
      <c r="B25" s="9" t="s">
        <v>154</v>
      </c>
      <c r="C25" s="9"/>
      <c r="D25" s="9"/>
      <c r="E25" s="10">
        <v>640</v>
      </c>
      <c r="F25" s="10">
        <v>640</v>
      </c>
      <c r="G25" s="9"/>
      <c r="H25" s="9"/>
    </row>
    <row r="26" spans="1:8" ht="18" customHeight="1" x14ac:dyDescent="0.35">
      <c r="A26" s="5" t="s">
        <v>155</v>
      </c>
      <c r="B26" s="6" t="s">
        <v>156</v>
      </c>
      <c r="C26" s="6"/>
      <c r="D26" s="6"/>
      <c r="E26" s="7">
        <v>1093.5</v>
      </c>
      <c r="F26" s="7">
        <v>1093.5</v>
      </c>
      <c r="G26" s="6"/>
      <c r="H26" s="6"/>
    </row>
    <row r="27" spans="1:8" ht="18" customHeight="1" x14ac:dyDescent="0.35">
      <c r="A27" s="8" t="s">
        <v>102</v>
      </c>
      <c r="B27" s="9" t="s">
        <v>157</v>
      </c>
      <c r="C27" s="9"/>
      <c r="D27" s="9"/>
      <c r="E27" s="10">
        <v>3161.52</v>
      </c>
      <c r="F27" s="10">
        <v>3161.52</v>
      </c>
      <c r="G27" s="9"/>
      <c r="H27" s="9"/>
    </row>
    <row r="28" spans="1:8" ht="18" customHeight="1" x14ac:dyDescent="0.35">
      <c r="A28" s="2" t="s">
        <v>33</v>
      </c>
      <c r="B28" s="3" t="s">
        <v>34</v>
      </c>
      <c r="C28" s="4">
        <f>SUM(C29:C33)</f>
        <v>1353875.94</v>
      </c>
      <c r="D28" s="4">
        <f t="shared" ref="D28:H28" si="4">SUM(D29:D33)</f>
        <v>0</v>
      </c>
      <c r="E28" s="4">
        <f t="shared" si="4"/>
        <v>44206204.859999999</v>
      </c>
      <c r="F28" s="4">
        <f t="shared" si="4"/>
        <v>33263036.669999998</v>
      </c>
      <c r="G28" s="4">
        <f t="shared" si="4"/>
        <v>12297044.130000001</v>
      </c>
      <c r="H28" s="4">
        <f t="shared" si="4"/>
        <v>0</v>
      </c>
    </row>
    <row r="29" spans="1:8" ht="18" customHeight="1" x14ac:dyDescent="0.35">
      <c r="A29" s="8" t="s">
        <v>106</v>
      </c>
      <c r="B29" s="9" t="s">
        <v>107</v>
      </c>
      <c r="C29" s="9"/>
      <c r="D29" s="9"/>
      <c r="E29" s="10">
        <v>10000</v>
      </c>
      <c r="F29" s="10">
        <v>10000</v>
      </c>
      <c r="G29" s="9"/>
      <c r="H29" s="9"/>
    </row>
    <row r="30" spans="1:8" ht="18" customHeight="1" x14ac:dyDescent="0.35">
      <c r="A30" s="5" t="s">
        <v>35</v>
      </c>
      <c r="B30" s="6" t="s">
        <v>36</v>
      </c>
      <c r="C30" s="7">
        <v>3688.4</v>
      </c>
      <c r="D30" s="6"/>
      <c r="E30" s="6"/>
      <c r="F30" s="7">
        <v>286</v>
      </c>
      <c r="G30" s="7">
        <v>3402.4</v>
      </c>
      <c r="H30" s="6"/>
    </row>
    <row r="31" spans="1:8" ht="18" customHeight="1" x14ac:dyDescent="0.35">
      <c r="A31" s="8" t="s">
        <v>37</v>
      </c>
      <c r="B31" s="9" t="s">
        <v>38</v>
      </c>
      <c r="C31" s="10">
        <v>59773.32</v>
      </c>
      <c r="D31" s="9"/>
      <c r="E31" s="10">
        <v>275000</v>
      </c>
      <c r="F31" s="10">
        <v>62951</v>
      </c>
      <c r="G31" s="10">
        <v>271822.32</v>
      </c>
      <c r="H31" s="9"/>
    </row>
    <row r="32" spans="1:8" ht="18" customHeight="1" x14ac:dyDescent="0.35">
      <c r="A32" s="5" t="s">
        <v>39</v>
      </c>
      <c r="B32" s="6" t="s">
        <v>40</v>
      </c>
      <c r="C32" s="7">
        <v>1289279.98</v>
      </c>
      <c r="D32" s="6"/>
      <c r="E32" s="7">
        <v>43911204.859999999</v>
      </c>
      <c r="F32" s="7">
        <v>33180572.309999999</v>
      </c>
      <c r="G32" s="7">
        <v>12019912.529999999</v>
      </c>
      <c r="H32" s="6"/>
    </row>
    <row r="33" spans="1:8" ht="18" customHeight="1" x14ac:dyDescent="0.35">
      <c r="A33" s="8" t="s">
        <v>108</v>
      </c>
      <c r="B33" s="9" t="s">
        <v>109</v>
      </c>
      <c r="C33" s="10">
        <v>1134.24</v>
      </c>
      <c r="D33" s="9"/>
      <c r="E33" s="10">
        <v>10000</v>
      </c>
      <c r="F33" s="10">
        <v>9227.36</v>
      </c>
      <c r="G33" s="10">
        <v>1906.88</v>
      </c>
      <c r="H33" s="9"/>
    </row>
    <row r="34" spans="1:8" ht="18" customHeight="1" x14ac:dyDescent="0.35">
      <c r="A34" s="2" t="s">
        <v>41</v>
      </c>
      <c r="B34" s="3" t="s">
        <v>42</v>
      </c>
      <c r="C34" s="3">
        <f>SUM(C35:C44)</f>
        <v>0</v>
      </c>
      <c r="D34" s="3">
        <f t="shared" ref="D34:H34" si="5">SUM(D35:D44)</f>
        <v>0</v>
      </c>
      <c r="E34" s="3">
        <f t="shared" si="5"/>
        <v>22709968.630000003</v>
      </c>
      <c r="F34" s="3">
        <f t="shared" si="5"/>
        <v>0</v>
      </c>
      <c r="G34" s="15">
        <f>SUM(G35:G44)</f>
        <v>22709968.630000003</v>
      </c>
      <c r="H34" s="3">
        <f t="shared" si="5"/>
        <v>0</v>
      </c>
    </row>
    <row r="35" spans="1:8" ht="18" customHeight="1" x14ac:dyDescent="0.35">
      <c r="A35" s="8" t="s">
        <v>158</v>
      </c>
      <c r="B35" s="9" t="s">
        <v>159</v>
      </c>
      <c r="C35" s="9"/>
      <c r="D35" s="9"/>
      <c r="E35" s="10">
        <v>4120</v>
      </c>
      <c r="F35" s="9"/>
      <c r="G35" s="10">
        <v>4120</v>
      </c>
      <c r="H35" s="9"/>
    </row>
    <row r="36" spans="1:8" ht="18" customHeight="1" x14ac:dyDescent="0.35">
      <c r="A36" s="5" t="s">
        <v>118</v>
      </c>
      <c r="B36" s="6" t="s">
        <v>119</v>
      </c>
      <c r="C36" s="6"/>
      <c r="D36" s="6"/>
      <c r="E36" s="7">
        <v>21758868.940000001</v>
      </c>
      <c r="F36" s="6"/>
      <c r="G36" s="7">
        <v>21758868.940000001</v>
      </c>
      <c r="H36" s="6"/>
    </row>
    <row r="37" spans="1:8" ht="18" customHeight="1" x14ac:dyDescent="0.35">
      <c r="A37" s="8" t="s">
        <v>120</v>
      </c>
      <c r="B37" s="9" t="s">
        <v>121</v>
      </c>
      <c r="C37" s="9"/>
      <c r="D37" s="9"/>
      <c r="E37" s="10">
        <v>885933.5</v>
      </c>
      <c r="F37" s="9"/>
      <c r="G37" s="10">
        <v>885933.5</v>
      </c>
      <c r="H37" s="9"/>
    </row>
    <row r="38" spans="1:8" ht="18" customHeight="1" x14ac:dyDescent="0.35">
      <c r="A38" s="5" t="s">
        <v>160</v>
      </c>
      <c r="B38" s="6" t="s">
        <v>161</v>
      </c>
      <c r="C38" s="6"/>
      <c r="D38" s="6"/>
      <c r="E38" s="7">
        <v>212.34</v>
      </c>
      <c r="F38" s="6"/>
      <c r="G38" s="16">
        <v>212.34</v>
      </c>
      <c r="H38" s="6"/>
    </row>
    <row r="39" spans="1:8" ht="18" customHeight="1" x14ac:dyDescent="0.35">
      <c r="A39" s="8" t="s">
        <v>132</v>
      </c>
      <c r="B39" s="9" t="s">
        <v>133</v>
      </c>
      <c r="C39" s="9"/>
      <c r="D39" s="9"/>
      <c r="E39" s="10">
        <v>3161.52</v>
      </c>
      <c r="F39" s="9"/>
      <c r="G39" s="7">
        <v>3161.52</v>
      </c>
      <c r="H39" s="9"/>
    </row>
    <row r="40" spans="1:8" ht="18" customHeight="1" x14ac:dyDescent="0.35">
      <c r="A40" s="5" t="s">
        <v>45</v>
      </c>
      <c r="B40" s="6" t="s">
        <v>46</v>
      </c>
      <c r="C40" s="6"/>
      <c r="D40" s="6"/>
      <c r="E40" s="7">
        <v>1368.87</v>
      </c>
      <c r="F40" s="6"/>
      <c r="G40" s="10">
        <v>1368.87</v>
      </c>
      <c r="H40" s="6"/>
    </row>
    <row r="41" spans="1:8" ht="18" customHeight="1" x14ac:dyDescent="0.35">
      <c r="A41" s="8" t="s">
        <v>134</v>
      </c>
      <c r="B41" s="9" t="s">
        <v>135</v>
      </c>
      <c r="C41" s="9"/>
      <c r="D41" s="9"/>
      <c r="E41" s="10">
        <v>2350</v>
      </c>
      <c r="F41" s="9"/>
      <c r="G41" s="7">
        <v>2350</v>
      </c>
      <c r="H41" s="9"/>
    </row>
    <row r="42" spans="1:8" ht="18" customHeight="1" x14ac:dyDescent="0.35">
      <c r="A42" s="5" t="s">
        <v>140</v>
      </c>
      <c r="B42" s="6" t="s">
        <v>141</v>
      </c>
      <c r="C42" s="6"/>
      <c r="D42" s="6"/>
      <c r="E42" s="7">
        <v>21.5</v>
      </c>
      <c r="F42" s="6"/>
      <c r="G42" s="10">
        <v>21.5</v>
      </c>
      <c r="H42" s="6"/>
    </row>
    <row r="43" spans="1:8" ht="18" customHeight="1" x14ac:dyDescent="0.35">
      <c r="A43" s="8" t="s">
        <v>142</v>
      </c>
      <c r="B43" s="9" t="s">
        <v>143</v>
      </c>
      <c r="C43" s="9"/>
      <c r="D43" s="9"/>
      <c r="E43" s="10">
        <v>3931.96</v>
      </c>
      <c r="F43" s="9"/>
      <c r="G43" s="7">
        <v>3931.96</v>
      </c>
      <c r="H43" s="9"/>
    </row>
    <row r="44" spans="1:8" ht="18" customHeight="1" x14ac:dyDescent="0.35">
      <c r="A44" s="5" t="s">
        <v>162</v>
      </c>
      <c r="B44" s="6" t="s">
        <v>163</v>
      </c>
      <c r="C44" s="6"/>
      <c r="D44" s="6"/>
      <c r="E44" s="7">
        <v>50000</v>
      </c>
      <c r="F44" s="6"/>
      <c r="G44" s="10">
        <v>50000</v>
      </c>
      <c r="H44" s="6"/>
    </row>
    <row r="45" spans="1:8" ht="18" customHeight="1" x14ac:dyDescent="0.35">
      <c r="A45" s="2" t="s">
        <v>49</v>
      </c>
      <c r="B45" s="3" t="s">
        <v>50</v>
      </c>
      <c r="C45" s="3">
        <f>SUM(C46)</f>
        <v>0</v>
      </c>
      <c r="D45" s="3">
        <f t="shared" ref="D45:H45" si="6">SUM(D46)</f>
        <v>0</v>
      </c>
      <c r="E45" s="3">
        <f t="shared" si="6"/>
        <v>0</v>
      </c>
      <c r="F45" s="3">
        <f t="shared" si="6"/>
        <v>22655204.399999999</v>
      </c>
      <c r="G45" s="3">
        <f t="shared" si="6"/>
        <v>0</v>
      </c>
      <c r="H45" s="3">
        <f t="shared" si="6"/>
        <v>22655204.399999999</v>
      </c>
    </row>
    <row r="46" spans="1:8" ht="18" customHeight="1" x14ac:dyDescent="0.35">
      <c r="A46" s="5" t="s">
        <v>164</v>
      </c>
      <c r="B46" s="6" t="s">
        <v>165</v>
      </c>
      <c r="C46" s="6"/>
      <c r="D46" s="6"/>
      <c r="E46" s="6"/>
      <c r="F46" s="7">
        <v>22655204.399999999</v>
      </c>
      <c r="G46" s="6"/>
      <c r="H46" s="7">
        <v>22655204.399999999</v>
      </c>
    </row>
    <row r="47" spans="1:8" ht="18" customHeight="1" x14ac:dyDescent="0.35">
      <c r="A47" s="11"/>
      <c r="B47" s="12" t="s">
        <v>55</v>
      </c>
      <c r="C47" s="13">
        <f>C3+C7+C12+C15+C28+C34+C45</f>
        <v>27536620.170000002</v>
      </c>
      <c r="D47" s="13">
        <f t="shared" ref="D47:H47" si="7">D3+D7+D12+D15+D28+D34+D45</f>
        <v>27536620.169999998</v>
      </c>
      <c r="E47" s="13">
        <f t="shared" si="7"/>
        <v>122815239.37</v>
      </c>
      <c r="F47" s="13">
        <f t="shared" si="7"/>
        <v>122815239.37</v>
      </c>
      <c r="G47" s="13">
        <f>G3+G7+G12+G15+G28+G34+G45</f>
        <v>83944890.49000001</v>
      </c>
      <c r="H47" s="13">
        <f t="shared" si="7"/>
        <v>83944890.489999995</v>
      </c>
    </row>
    <row r="48" spans="1:8" x14ac:dyDescent="0.35">
      <c r="D48" t="s">
        <v>207</v>
      </c>
      <c r="E48">
        <f>F45-E34</f>
        <v>-54764.230000004172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3"/>
  <sheetViews>
    <sheetView topLeftCell="A40" zoomScale="64" workbookViewId="0">
      <selection activeCell="D59" sqref="D59"/>
    </sheetView>
  </sheetViews>
  <sheetFormatPr baseColWidth="10" defaultColWidth="8.7265625" defaultRowHeight="14.5" x14ac:dyDescent="0.35"/>
  <cols>
    <col min="1" max="1" width="16" customWidth="1"/>
    <col min="2" max="2" width="38" customWidth="1"/>
    <col min="3" max="8" width="18" customWidth="1"/>
  </cols>
  <sheetData>
    <row r="1" spans="1:8" ht="30" customHeight="1" x14ac:dyDescent="0.35">
      <c r="A1" s="17" t="s">
        <v>166</v>
      </c>
      <c r="B1" s="18"/>
      <c r="C1" s="18"/>
      <c r="D1" s="18"/>
      <c r="E1" s="18"/>
      <c r="F1" s="18"/>
      <c r="G1" s="18"/>
      <c r="H1" s="18"/>
    </row>
    <row r="2" spans="1:8" ht="3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8" customHeight="1" x14ac:dyDescent="0.35">
      <c r="A3" s="2" t="s">
        <v>9</v>
      </c>
      <c r="B3" s="3" t="s">
        <v>10</v>
      </c>
      <c r="C3" s="4">
        <f>SUM(C4:C6)</f>
        <v>77870.850000000006</v>
      </c>
      <c r="D3" s="4">
        <f t="shared" ref="D3:H3" si="0">SUM(D4:D6)</f>
        <v>61283387.979999997</v>
      </c>
      <c r="E3" s="4">
        <f t="shared" si="0"/>
        <v>4569764.2300000004</v>
      </c>
      <c r="F3" s="4">
        <f t="shared" si="0"/>
        <v>76891065.710000008</v>
      </c>
      <c r="G3" s="4">
        <f t="shared" si="0"/>
        <v>77870.850000000006</v>
      </c>
      <c r="H3" s="4">
        <f t="shared" si="0"/>
        <v>133604689.45999999</v>
      </c>
    </row>
    <row r="4" spans="1:8" ht="18" customHeight="1" x14ac:dyDescent="0.35">
      <c r="A4" s="5" t="s">
        <v>11</v>
      </c>
      <c r="B4" s="6" t="s">
        <v>12</v>
      </c>
      <c r="C4" s="6"/>
      <c r="D4" s="7">
        <v>61283387.979999997</v>
      </c>
      <c r="E4" s="7">
        <v>4515000</v>
      </c>
      <c r="F4" s="7">
        <v>76836301.480000004</v>
      </c>
      <c r="G4" s="6"/>
      <c r="H4" s="7">
        <v>133604689.45999999</v>
      </c>
    </row>
    <row r="5" spans="1:8" ht="18" customHeight="1" x14ac:dyDescent="0.35">
      <c r="A5" s="8" t="s">
        <v>13</v>
      </c>
      <c r="B5" s="9" t="s">
        <v>14</v>
      </c>
      <c r="C5" s="10">
        <v>23106.62</v>
      </c>
      <c r="D5" s="9"/>
      <c r="E5" s="10">
        <v>54764.23</v>
      </c>
      <c r="F5" s="9"/>
      <c r="G5" s="10"/>
      <c r="H5" s="9"/>
    </row>
    <row r="6" spans="1:8" ht="18" customHeight="1" x14ac:dyDescent="0.35">
      <c r="A6" s="5" t="s">
        <v>17</v>
      </c>
      <c r="B6" s="6" t="s">
        <v>18</v>
      </c>
      <c r="C6" s="7">
        <v>54764.23</v>
      </c>
      <c r="D6" s="6"/>
      <c r="F6" s="7">
        <v>54764.23</v>
      </c>
      <c r="G6" s="7">
        <v>77870.850000000006</v>
      </c>
      <c r="H6" s="6"/>
    </row>
    <row r="7" spans="1:8" ht="18" customHeight="1" x14ac:dyDescent="0.35">
      <c r="A7" s="2" t="s">
        <v>57</v>
      </c>
      <c r="B7" s="3" t="s">
        <v>58</v>
      </c>
      <c r="C7" s="4">
        <f>SUM(C8:C11)</f>
        <v>110213.05</v>
      </c>
      <c r="D7" s="4">
        <f t="shared" ref="D7:H7" si="1">SUM(D8:D11)</f>
        <v>4402.6100000000006</v>
      </c>
      <c r="E7" s="4">
        <f t="shared" si="1"/>
        <v>0</v>
      </c>
      <c r="F7" s="4">
        <f t="shared" si="1"/>
        <v>11021.3</v>
      </c>
      <c r="G7" s="4">
        <f t="shared" si="1"/>
        <v>110213.05</v>
      </c>
      <c r="H7" s="4">
        <f t="shared" si="1"/>
        <v>15423.91</v>
      </c>
    </row>
    <row r="8" spans="1:8" ht="18" customHeight="1" x14ac:dyDescent="0.35">
      <c r="A8" s="5" t="s">
        <v>59</v>
      </c>
      <c r="B8" s="6" t="s">
        <v>60</v>
      </c>
      <c r="C8" s="7">
        <v>106794</v>
      </c>
      <c r="D8" s="6"/>
      <c r="E8" s="6"/>
      <c r="F8" s="6"/>
      <c r="G8" s="7">
        <v>106794</v>
      </c>
      <c r="H8" s="6"/>
    </row>
    <row r="9" spans="1:8" ht="18" customHeight="1" x14ac:dyDescent="0.35">
      <c r="A9" s="8" t="s">
        <v>61</v>
      </c>
      <c r="B9" s="9" t="s">
        <v>62</v>
      </c>
      <c r="C9" s="10">
        <v>3419.05</v>
      </c>
      <c r="D9" s="9"/>
      <c r="E9" s="9"/>
      <c r="F9" s="9"/>
      <c r="G9" s="10">
        <v>3419.05</v>
      </c>
      <c r="H9" s="10">
        <v>14398.2</v>
      </c>
    </row>
    <row r="10" spans="1:8" ht="18" customHeight="1" x14ac:dyDescent="0.35">
      <c r="A10" s="5" t="s">
        <v>63</v>
      </c>
      <c r="B10" s="6" t="s">
        <v>64</v>
      </c>
      <c r="C10" s="6"/>
      <c r="D10" s="7">
        <v>3718.8</v>
      </c>
      <c r="E10" s="6"/>
      <c r="F10" s="7">
        <v>10679.4</v>
      </c>
      <c r="G10" s="6"/>
      <c r="H10" s="7">
        <v>1025.71</v>
      </c>
    </row>
    <row r="11" spans="1:8" ht="18" customHeight="1" x14ac:dyDescent="0.35">
      <c r="A11" s="8" t="s">
        <v>65</v>
      </c>
      <c r="B11" s="9" t="s">
        <v>66</v>
      </c>
      <c r="C11" s="9"/>
      <c r="D11" s="10">
        <v>683.81</v>
      </c>
      <c r="E11" s="9"/>
      <c r="F11" s="10">
        <v>341.9</v>
      </c>
      <c r="G11" s="9"/>
      <c r="H11" s="9"/>
    </row>
    <row r="12" spans="1:8" ht="18" customHeight="1" x14ac:dyDescent="0.35">
      <c r="A12" s="2" t="s">
        <v>19</v>
      </c>
      <c r="B12" s="3" t="s">
        <v>20</v>
      </c>
      <c r="C12" s="4">
        <f>SUM(C13:C15)</f>
        <v>48804558.060000002</v>
      </c>
      <c r="D12" s="4">
        <f t="shared" ref="D12:H12" si="2">SUM(D13:D15)</f>
        <v>0</v>
      </c>
      <c r="E12" s="4">
        <f t="shared" si="2"/>
        <v>82010785.340000004</v>
      </c>
      <c r="F12" s="4">
        <f t="shared" si="2"/>
        <v>3043050</v>
      </c>
      <c r="G12" s="4">
        <f>SUM(G13:G15)</f>
        <v>127772293.40000001</v>
      </c>
      <c r="H12" s="4">
        <f t="shared" si="2"/>
        <v>0</v>
      </c>
    </row>
    <row r="13" spans="1:8" ht="18" customHeight="1" x14ac:dyDescent="0.35">
      <c r="A13" s="8" t="s">
        <v>67</v>
      </c>
      <c r="B13" s="9" t="s">
        <v>68</v>
      </c>
      <c r="C13" s="10">
        <v>48804558.060000002</v>
      </c>
      <c r="D13" s="9"/>
      <c r="E13" s="10">
        <v>46547735.340000004</v>
      </c>
      <c r="F13" s="9"/>
      <c r="G13" s="10">
        <v>95352293.400000006</v>
      </c>
      <c r="H13" s="9"/>
    </row>
    <row r="14" spans="1:8" ht="18" customHeight="1" x14ac:dyDescent="0.35">
      <c r="A14" s="5" t="s">
        <v>167</v>
      </c>
      <c r="B14" s="6" t="s">
        <v>168</v>
      </c>
      <c r="C14" s="6"/>
      <c r="D14" s="6"/>
      <c r="E14" s="7">
        <v>18043050</v>
      </c>
      <c r="G14">
        <v>18043050</v>
      </c>
      <c r="H14" s="6"/>
    </row>
    <row r="15" spans="1:8" ht="18" customHeight="1" x14ac:dyDescent="0.35">
      <c r="A15" s="8" t="s">
        <v>169</v>
      </c>
      <c r="B15" s="9" t="s">
        <v>170</v>
      </c>
      <c r="C15" s="9"/>
      <c r="D15" s="10"/>
      <c r="E15" s="10">
        <v>17420000</v>
      </c>
      <c r="F15" s="10">
        <v>3043050</v>
      </c>
      <c r="G15" s="7">
        <v>14376950</v>
      </c>
      <c r="H15" s="10"/>
    </row>
    <row r="16" spans="1:8" ht="18" customHeight="1" x14ac:dyDescent="0.35">
      <c r="A16" s="2" t="s">
        <v>25</v>
      </c>
      <c r="B16" s="3" t="s">
        <v>26</v>
      </c>
      <c r="C16" s="3">
        <f>SUM(C17:C30)</f>
        <v>0</v>
      </c>
      <c r="D16" s="3">
        <f t="shared" ref="D16:H16" si="3">SUM(D17:D30)</f>
        <v>1895.5</v>
      </c>
      <c r="E16" s="3">
        <f t="shared" si="3"/>
        <v>65334091.329999998</v>
      </c>
      <c r="F16" s="3">
        <f t="shared" si="3"/>
        <v>65553377.989999995</v>
      </c>
      <c r="G16" s="3">
        <f t="shared" si="3"/>
        <v>0</v>
      </c>
      <c r="H16" s="3">
        <f t="shared" si="3"/>
        <v>221182.16</v>
      </c>
    </row>
    <row r="17" spans="1:8" ht="18" customHeight="1" x14ac:dyDescent="0.35">
      <c r="A17" s="8" t="s">
        <v>171</v>
      </c>
      <c r="B17" s="9" t="s">
        <v>172</v>
      </c>
      <c r="C17" s="9"/>
      <c r="D17" s="9"/>
      <c r="E17" s="10">
        <v>96299.32</v>
      </c>
      <c r="F17" s="10">
        <v>288585.98</v>
      </c>
      <c r="G17" s="9"/>
      <c r="H17" s="10">
        <v>192286.66</v>
      </c>
    </row>
    <row r="18" spans="1:8" ht="18" customHeight="1" x14ac:dyDescent="0.35">
      <c r="A18" s="5" t="s">
        <v>78</v>
      </c>
      <c r="B18" s="6" t="s">
        <v>79</v>
      </c>
      <c r="C18" s="6"/>
      <c r="D18" s="6"/>
      <c r="E18" s="7">
        <v>42767292.560000002</v>
      </c>
      <c r="F18" s="7">
        <v>42767292.560000002</v>
      </c>
      <c r="G18" s="6"/>
      <c r="H18" s="6"/>
    </row>
    <row r="19" spans="1:8" ht="18" customHeight="1" x14ac:dyDescent="0.35">
      <c r="A19" s="8" t="s">
        <v>80</v>
      </c>
      <c r="B19" s="9" t="s">
        <v>81</v>
      </c>
      <c r="C19" s="9"/>
      <c r="D19" s="9"/>
      <c r="E19" s="10">
        <v>22140</v>
      </c>
      <c r="F19" s="10">
        <v>22140</v>
      </c>
      <c r="G19" s="9"/>
      <c r="H19" s="9"/>
    </row>
    <row r="20" spans="1:8" ht="18" customHeight="1" x14ac:dyDescent="0.35">
      <c r="A20" s="5" t="s">
        <v>173</v>
      </c>
      <c r="B20" s="6" t="s">
        <v>174</v>
      </c>
      <c r="C20" s="6"/>
      <c r="D20" s="6"/>
      <c r="E20" s="6"/>
      <c r="F20" s="7">
        <v>27000</v>
      </c>
      <c r="G20" s="6"/>
      <c r="H20" s="7">
        <v>27000</v>
      </c>
    </row>
    <row r="21" spans="1:8" ht="18" customHeight="1" x14ac:dyDescent="0.35">
      <c r="A21" s="8" t="s">
        <v>82</v>
      </c>
      <c r="B21" s="9" t="s">
        <v>83</v>
      </c>
      <c r="C21" s="9"/>
      <c r="D21" s="9"/>
      <c r="E21" s="10">
        <v>360000</v>
      </c>
      <c r="F21" s="10">
        <v>360000</v>
      </c>
      <c r="G21" s="9"/>
      <c r="H21" s="9"/>
    </row>
    <row r="22" spans="1:8" ht="18" customHeight="1" x14ac:dyDescent="0.35">
      <c r="A22" s="5" t="s">
        <v>86</v>
      </c>
      <c r="B22" s="6" t="s">
        <v>87</v>
      </c>
      <c r="C22" s="6"/>
      <c r="E22" s="7">
        <v>769200</v>
      </c>
      <c r="F22" s="7">
        <v>769200</v>
      </c>
      <c r="G22" s="6"/>
      <c r="H22" s="7">
        <v>1895.5</v>
      </c>
    </row>
    <row r="23" spans="1:8" ht="18" customHeight="1" x14ac:dyDescent="0.35">
      <c r="A23" s="8" t="s">
        <v>29</v>
      </c>
      <c r="B23" s="9" t="s">
        <v>30</v>
      </c>
      <c r="C23" s="9"/>
      <c r="D23" s="10">
        <v>1895.5</v>
      </c>
      <c r="E23" s="9"/>
      <c r="F23" s="9"/>
      <c r="G23" s="9"/>
      <c r="H23" s="9"/>
    </row>
    <row r="24" spans="1:8" ht="18" customHeight="1" x14ac:dyDescent="0.35">
      <c r="A24" s="5" t="s">
        <v>92</v>
      </c>
      <c r="B24" s="6" t="s">
        <v>93</v>
      </c>
      <c r="C24" s="6"/>
      <c r="D24" s="6"/>
      <c r="E24" s="7">
        <v>254.05</v>
      </c>
      <c r="F24" s="7">
        <v>254.05</v>
      </c>
      <c r="G24" s="6"/>
      <c r="H24" s="6"/>
    </row>
    <row r="25" spans="1:8" ht="18" customHeight="1" x14ac:dyDescent="0.35">
      <c r="A25" s="8" t="s">
        <v>151</v>
      </c>
      <c r="B25" s="9" t="s">
        <v>152</v>
      </c>
      <c r="C25" s="9"/>
      <c r="D25" s="9"/>
      <c r="E25" s="10">
        <v>1208505.54</v>
      </c>
      <c r="F25" s="10">
        <v>1208505.54</v>
      </c>
      <c r="G25" s="9"/>
      <c r="H25" s="9"/>
    </row>
    <row r="26" spans="1:8" ht="18" customHeight="1" x14ac:dyDescent="0.35">
      <c r="A26" s="5" t="s">
        <v>175</v>
      </c>
      <c r="B26" s="6" t="s">
        <v>176</v>
      </c>
      <c r="C26" s="6"/>
      <c r="D26" s="6"/>
      <c r="E26" s="7">
        <v>101750</v>
      </c>
      <c r="F26" s="7">
        <v>101750</v>
      </c>
      <c r="G26" s="6"/>
      <c r="H26" s="6"/>
    </row>
    <row r="27" spans="1:8" ht="18" customHeight="1" x14ac:dyDescent="0.35">
      <c r="A27" s="8" t="s">
        <v>177</v>
      </c>
      <c r="B27" s="9" t="s">
        <v>178</v>
      </c>
      <c r="C27" s="9"/>
      <c r="D27" s="9"/>
      <c r="E27" s="10">
        <v>885000</v>
      </c>
      <c r="F27" s="10">
        <v>885000</v>
      </c>
      <c r="G27" s="9"/>
      <c r="H27" s="9"/>
    </row>
    <row r="28" spans="1:8" ht="18" customHeight="1" x14ac:dyDescent="0.35">
      <c r="A28" s="5" t="s">
        <v>179</v>
      </c>
      <c r="B28" s="6" t="s">
        <v>180</v>
      </c>
      <c r="C28" s="6"/>
      <c r="D28" s="6"/>
      <c r="E28" s="7">
        <v>1077446.26</v>
      </c>
      <c r="F28" s="7">
        <v>1077446.26</v>
      </c>
      <c r="G28" s="6"/>
      <c r="H28" s="6"/>
    </row>
    <row r="29" spans="1:8" ht="18" customHeight="1" x14ac:dyDescent="0.35">
      <c r="A29" s="8" t="s">
        <v>181</v>
      </c>
      <c r="B29" s="9" t="s">
        <v>182</v>
      </c>
      <c r="C29" s="9"/>
      <c r="D29" s="9"/>
      <c r="E29" s="10">
        <v>18043050</v>
      </c>
      <c r="F29" s="10">
        <v>18043050</v>
      </c>
      <c r="G29" s="9"/>
      <c r="H29" s="9"/>
    </row>
    <row r="30" spans="1:8" ht="18" customHeight="1" x14ac:dyDescent="0.35">
      <c r="A30" s="5" t="s">
        <v>102</v>
      </c>
      <c r="B30" s="6" t="s">
        <v>157</v>
      </c>
      <c r="C30" s="6"/>
      <c r="D30" s="6"/>
      <c r="E30" s="7">
        <v>3153.6</v>
      </c>
      <c r="F30" s="7">
        <v>3153.6</v>
      </c>
      <c r="G30" s="6"/>
      <c r="H30" s="6"/>
    </row>
    <row r="31" spans="1:8" ht="18" customHeight="1" x14ac:dyDescent="0.35">
      <c r="A31" s="2" t="s">
        <v>33</v>
      </c>
      <c r="B31" s="3" t="s">
        <v>34</v>
      </c>
      <c r="C31" s="4">
        <f>SUM(C32:C37)</f>
        <v>12297044.130000001</v>
      </c>
      <c r="D31" s="4">
        <f t="shared" ref="D31:H31" si="4">SUM(D32:D37)</f>
        <v>0</v>
      </c>
      <c r="E31" s="4">
        <f t="shared" si="4"/>
        <v>79426301.479999989</v>
      </c>
      <c r="F31" s="4">
        <f t="shared" si="4"/>
        <v>86924641.849999994</v>
      </c>
      <c r="G31" s="4">
        <f t="shared" si="4"/>
        <v>4798705.7799999993</v>
      </c>
      <c r="H31" s="4">
        <f t="shared" si="4"/>
        <v>0</v>
      </c>
    </row>
    <row r="32" spans="1:8" ht="18" customHeight="1" x14ac:dyDescent="0.35">
      <c r="A32" s="5" t="s">
        <v>106</v>
      </c>
      <c r="B32" s="6" t="s">
        <v>107</v>
      </c>
      <c r="C32" s="6"/>
      <c r="D32" s="6"/>
      <c r="E32" s="7">
        <v>10005000</v>
      </c>
      <c r="F32" s="7">
        <v>10005000</v>
      </c>
      <c r="G32" s="6"/>
      <c r="H32" s="6"/>
    </row>
    <row r="33" spans="1:8" ht="18" customHeight="1" x14ac:dyDescent="0.35">
      <c r="A33" s="8" t="s">
        <v>35</v>
      </c>
      <c r="B33" s="9" t="s">
        <v>36</v>
      </c>
      <c r="C33" s="10">
        <v>3402.4</v>
      </c>
      <c r="D33" s="9"/>
      <c r="E33" s="9"/>
      <c r="F33" s="10">
        <v>286</v>
      </c>
      <c r="G33" s="10">
        <v>3116.4</v>
      </c>
      <c r="H33" s="9"/>
    </row>
    <row r="34" spans="1:8" ht="18" customHeight="1" x14ac:dyDescent="0.35">
      <c r="A34" s="5" t="s">
        <v>37</v>
      </c>
      <c r="B34" s="6" t="s">
        <v>38</v>
      </c>
      <c r="C34" s="7">
        <v>271822.32</v>
      </c>
      <c r="D34" s="6"/>
      <c r="E34" s="7">
        <v>30000</v>
      </c>
      <c r="F34" s="7">
        <v>5354</v>
      </c>
      <c r="G34" s="7">
        <v>296468.32</v>
      </c>
      <c r="H34" s="6"/>
    </row>
    <row r="35" spans="1:8" ht="18" customHeight="1" x14ac:dyDescent="0.35">
      <c r="A35" s="8" t="s">
        <v>39</v>
      </c>
      <c r="B35" s="9" t="s">
        <v>40</v>
      </c>
      <c r="C35" s="10">
        <v>12019912.529999999</v>
      </c>
      <c r="D35" s="9"/>
      <c r="E35" s="10">
        <v>53586301.479999997</v>
      </c>
      <c r="F35" s="10">
        <v>61910237.479999997</v>
      </c>
      <c r="G35" s="10">
        <v>3695978.55</v>
      </c>
      <c r="H35" s="9"/>
    </row>
    <row r="36" spans="1:8" ht="18" customHeight="1" x14ac:dyDescent="0.35">
      <c r="A36" s="5" t="s">
        <v>183</v>
      </c>
      <c r="B36" s="6" t="s">
        <v>184</v>
      </c>
      <c r="C36" s="7"/>
      <c r="D36" s="6"/>
      <c r="E36" s="7">
        <v>15800000</v>
      </c>
      <c r="F36" s="7">
        <v>15000106.5</v>
      </c>
      <c r="G36" s="7">
        <v>799893.5</v>
      </c>
      <c r="H36" s="6"/>
    </row>
    <row r="37" spans="1:8" ht="18" customHeight="1" x14ac:dyDescent="0.35">
      <c r="A37" s="8" t="s">
        <v>108</v>
      </c>
      <c r="B37" s="9" t="s">
        <v>109</v>
      </c>
      <c r="C37" s="10">
        <v>1906.88</v>
      </c>
      <c r="D37" s="9"/>
      <c r="E37" s="10">
        <v>5000</v>
      </c>
      <c r="F37" s="10">
        <v>3657.87</v>
      </c>
      <c r="G37" s="10">
        <v>3249.01</v>
      </c>
      <c r="H37" s="9"/>
    </row>
    <row r="38" spans="1:8" ht="18" customHeight="1" x14ac:dyDescent="0.35">
      <c r="A38" s="2" t="s">
        <v>41</v>
      </c>
      <c r="B38" s="3" t="s">
        <v>42</v>
      </c>
      <c r="C38" s="3">
        <f>SUM(C39:C49)</f>
        <v>0</v>
      </c>
      <c r="D38" s="3">
        <f t="shared" ref="D38:H38" si="5">SUM(D39:D49)</f>
        <v>0</v>
      </c>
      <c r="E38" s="3">
        <f t="shared" si="5"/>
        <v>70717039.999999985</v>
      </c>
      <c r="F38" s="3">
        <f t="shared" si="5"/>
        <v>5060480.21</v>
      </c>
      <c r="G38" s="3">
        <f t="shared" si="5"/>
        <v>65656559.789999992</v>
      </c>
      <c r="H38" s="3">
        <f t="shared" si="5"/>
        <v>0</v>
      </c>
    </row>
    <row r="39" spans="1:8" ht="18" customHeight="1" x14ac:dyDescent="0.35">
      <c r="A39" s="8" t="s">
        <v>43</v>
      </c>
      <c r="B39" s="9" t="s">
        <v>44</v>
      </c>
      <c r="C39" s="9"/>
      <c r="D39" s="9"/>
      <c r="E39" s="10">
        <v>18043050</v>
      </c>
      <c r="F39" s="9"/>
      <c r="G39" s="10">
        <v>18043050</v>
      </c>
      <c r="H39" s="9"/>
    </row>
    <row r="40" spans="1:8" ht="18" customHeight="1" x14ac:dyDescent="0.35">
      <c r="A40" s="5" t="s">
        <v>114</v>
      </c>
      <c r="B40" s="6" t="s">
        <v>115</v>
      </c>
      <c r="C40" s="6"/>
      <c r="D40" s="6"/>
      <c r="E40" s="7">
        <v>1077700.31</v>
      </c>
      <c r="F40" s="6"/>
      <c r="G40" s="7">
        <v>1077700.31</v>
      </c>
      <c r="H40" s="6"/>
    </row>
    <row r="41" spans="1:8" ht="18" customHeight="1" x14ac:dyDescent="0.35">
      <c r="A41" s="8" t="s">
        <v>118</v>
      </c>
      <c r="B41" s="9" t="s">
        <v>119</v>
      </c>
      <c r="C41" s="9"/>
      <c r="D41" s="9"/>
      <c r="E41" s="10">
        <v>41042553.869999997</v>
      </c>
      <c r="F41" s="9"/>
      <c r="G41" s="10">
        <v>41042553.869999997</v>
      </c>
      <c r="H41" s="9"/>
    </row>
    <row r="42" spans="1:8" ht="18" customHeight="1" x14ac:dyDescent="0.35">
      <c r="A42" s="5" t="s">
        <v>120</v>
      </c>
      <c r="B42" s="6" t="s">
        <v>121</v>
      </c>
      <c r="C42" s="6"/>
      <c r="D42" s="6"/>
      <c r="E42" s="7">
        <v>5126570.21</v>
      </c>
      <c r="F42" s="6"/>
      <c r="G42" s="7">
        <v>5126570.21</v>
      </c>
      <c r="H42" s="6"/>
    </row>
    <row r="43" spans="1:8" ht="18" customHeight="1" x14ac:dyDescent="0.35">
      <c r="A43" s="8" t="s">
        <v>185</v>
      </c>
      <c r="B43" s="9" t="s">
        <v>186</v>
      </c>
      <c r="C43" s="9"/>
      <c r="D43" s="9"/>
      <c r="E43" s="10">
        <v>5390480.21</v>
      </c>
      <c r="F43" s="10">
        <v>5060480.21</v>
      </c>
      <c r="G43" s="10">
        <v>330000</v>
      </c>
      <c r="H43" s="9"/>
    </row>
    <row r="44" spans="1:8" ht="18" customHeight="1" x14ac:dyDescent="0.35">
      <c r="A44" s="5" t="s">
        <v>132</v>
      </c>
      <c r="B44" s="6" t="s">
        <v>133</v>
      </c>
      <c r="C44" s="6"/>
      <c r="D44" s="6"/>
      <c r="E44" s="7">
        <v>3153.6</v>
      </c>
      <c r="F44" s="6"/>
      <c r="G44" s="7">
        <v>3153.6</v>
      </c>
      <c r="H44" s="6"/>
    </row>
    <row r="45" spans="1:8" ht="18" customHeight="1" x14ac:dyDescent="0.35">
      <c r="A45" s="8" t="s">
        <v>45</v>
      </c>
      <c r="B45" s="9" t="s">
        <v>46</v>
      </c>
      <c r="C45" s="9"/>
      <c r="D45" s="9"/>
      <c r="E45" s="10">
        <v>1261</v>
      </c>
      <c r="F45" s="9"/>
      <c r="G45" s="10">
        <v>1261</v>
      </c>
      <c r="H45" s="9"/>
    </row>
    <row r="46" spans="1:8" ht="18" customHeight="1" x14ac:dyDescent="0.35">
      <c r="A46" s="5" t="s">
        <v>134</v>
      </c>
      <c r="B46" s="6" t="s">
        <v>135</v>
      </c>
      <c r="C46" s="6"/>
      <c r="D46" s="6"/>
      <c r="E46" s="7">
        <v>21150</v>
      </c>
      <c r="F46" s="6"/>
      <c r="G46" s="7">
        <v>21150</v>
      </c>
      <c r="H46" s="6"/>
    </row>
    <row r="47" spans="1:8" ht="18" customHeight="1" x14ac:dyDescent="0.35">
      <c r="A47" s="8" t="s">
        <v>140</v>
      </c>
      <c r="B47" s="9" t="s">
        <v>141</v>
      </c>
      <c r="C47" s="9"/>
      <c r="D47" s="9"/>
      <c r="E47" s="10">
        <v>17</v>
      </c>
      <c r="F47" s="9"/>
      <c r="G47" s="10">
        <v>17</v>
      </c>
      <c r="H47" s="9"/>
    </row>
    <row r="48" spans="1:8" ht="18" customHeight="1" x14ac:dyDescent="0.35">
      <c r="A48" s="5" t="s">
        <v>187</v>
      </c>
      <c r="B48" s="6" t="s">
        <v>188</v>
      </c>
      <c r="C48" s="6"/>
      <c r="D48" s="6"/>
      <c r="E48" s="7">
        <v>82.5</v>
      </c>
      <c r="F48" s="6"/>
      <c r="G48" s="7">
        <v>82.5</v>
      </c>
      <c r="H48" s="6"/>
    </row>
    <row r="49" spans="1:8" ht="18" customHeight="1" x14ac:dyDescent="0.35">
      <c r="A49" s="8" t="s">
        <v>142</v>
      </c>
      <c r="B49" s="9" t="s">
        <v>143</v>
      </c>
      <c r="C49" s="9"/>
      <c r="D49" s="9"/>
      <c r="E49" s="10">
        <v>11021.3</v>
      </c>
      <c r="F49" s="9"/>
      <c r="G49" s="10">
        <v>11021.3</v>
      </c>
      <c r="H49" s="9"/>
    </row>
    <row r="50" spans="1:8" ht="18" customHeight="1" x14ac:dyDescent="0.35">
      <c r="A50" s="2" t="s">
        <v>49</v>
      </c>
      <c r="B50" s="3" t="s">
        <v>50</v>
      </c>
      <c r="C50" s="3">
        <f>SUM(C51)</f>
        <v>0</v>
      </c>
      <c r="D50" s="3">
        <f t="shared" ref="D50:H50" si="6">SUM(D51)</f>
        <v>0</v>
      </c>
      <c r="E50" s="3">
        <f t="shared" si="6"/>
        <v>0</v>
      </c>
      <c r="F50" s="3">
        <f t="shared" si="6"/>
        <v>64574345.340000004</v>
      </c>
      <c r="G50" s="3">
        <f t="shared" si="6"/>
        <v>0</v>
      </c>
      <c r="H50" s="3">
        <f t="shared" si="6"/>
        <v>64574345.340000004</v>
      </c>
    </row>
    <row r="51" spans="1:8" ht="18" customHeight="1" x14ac:dyDescent="0.35">
      <c r="A51" s="8" t="s">
        <v>164</v>
      </c>
      <c r="B51" s="9" t="s">
        <v>165</v>
      </c>
      <c r="C51" s="9"/>
      <c r="D51" s="9"/>
      <c r="E51" s="9"/>
      <c r="F51" s="10">
        <v>64574345.340000004</v>
      </c>
      <c r="G51" s="9"/>
      <c r="H51" s="10">
        <v>64574345.340000004</v>
      </c>
    </row>
    <row r="52" spans="1:8" ht="18" customHeight="1" x14ac:dyDescent="0.35">
      <c r="A52" s="11"/>
      <c r="B52" s="12" t="s">
        <v>55</v>
      </c>
      <c r="C52" s="13">
        <f>C3+C7+C12+C16+C31+C38+C50</f>
        <v>61289686.090000004</v>
      </c>
      <c r="D52" s="13">
        <f t="shared" ref="D52:H52" si="7">D3+D7+D12+D16+D31+D38+D50</f>
        <v>61289686.089999996</v>
      </c>
      <c r="E52" s="13">
        <f t="shared" si="7"/>
        <v>302057982.38</v>
      </c>
      <c r="F52" s="13">
        <f t="shared" si="7"/>
        <v>302057982.39999998</v>
      </c>
      <c r="G52" s="13">
        <f t="shared" si="7"/>
        <v>198415642.87</v>
      </c>
      <c r="H52" s="13">
        <f t="shared" si="7"/>
        <v>198415640.87</v>
      </c>
    </row>
    <row r="53" spans="1:8" x14ac:dyDescent="0.35">
      <c r="E53">
        <f>F50-E38</f>
        <v>-6142694.6599999815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7"/>
  <sheetViews>
    <sheetView topLeftCell="A50" workbookViewId="0">
      <selection activeCell="D56" sqref="D56"/>
    </sheetView>
  </sheetViews>
  <sheetFormatPr baseColWidth="10" defaultColWidth="8.7265625" defaultRowHeight="14.5" x14ac:dyDescent="0.35"/>
  <cols>
    <col min="1" max="1" width="16" customWidth="1"/>
    <col min="2" max="2" width="38" customWidth="1"/>
    <col min="3" max="8" width="18" customWidth="1"/>
  </cols>
  <sheetData>
    <row r="1" spans="1:8" ht="30" customHeight="1" x14ac:dyDescent="0.35">
      <c r="A1" s="17" t="s">
        <v>189</v>
      </c>
      <c r="B1" s="18"/>
      <c r="C1" s="18"/>
      <c r="D1" s="18"/>
      <c r="E1" s="18"/>
      <c r="F1" s="18"/>
      <c r="G1" s="18"/>
      <c r="H1" s="18"/>
    </row>
    <row r="2" spans="1:8" ht="3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8" customHeight="1" x14ac:dyDescent="0.35">
      <c r="A3" s="2" t="s">
        <v>9</v>
      </c>
      <c r="B3" s="3" t="s">
        <v>10</v>
      </c>
      <c r="C3" s="4">
        <f>SUM(C4:C6)</f>
        <v>1160085.3</v>
      </c>
      <c r="D3" s="4">
        <f t="shared" ref="D3:H3" si="0">SUM(D4:D6)</f>
        <v>133604689.45999999</v>
      </c>
      <c r="E3" s="4">
        <f t="shared" si="0"/>
        <v>17674164.449999999</v>
      </c>
      <c r="F3" s="4">
        <f t="shared" si="0"/>
        <v>22271800.84</v>
      </c>
      <c r="G3" s="4">
        <f t="shared" si="0"/>
        <v>1160085.3</v>
      </c>
      <c r="H3" s="4">
        <f t="shared" si="0"/>
        <v>138202325.84999999</v>
      </c>
    </row>
    <row r="4" spans="1:8" ht="18" customHeight="1" x14ac:dyDescent="0.35">
      <c r="A4" s="5" t="s">
        <v>11</v>
      </c>
      <c r="B4" s="6" t="s">
        <v>12</v>
      </c>
      <c r="C4" s="6"/>
      <c r="D4" s="7">
        <v>133604689.45999999</v>
      </c>
      <c r="E4" s="7">
        <v>16591950</v>
      </c>
      <c r="F4" s="7">
        <v>21189586.390000001</v>
      </c>
      <c r="G4" s="6"/>
      <c r="H4" s="7">
        <v>138202325.84999999</v>
      </c>
    </row>
    <row r="5" spans="1:8" ht="18" customHeight="1" x14ac:dyDescent="0.35">
      <c r="A5" s="8" t="s">
        <v>13</v>
      </c>
      <c r="B5" s="9" t="s">
        <v>14</v>
      </c>
      <c r="C5" s="10">
        <v>77870.850000000006</v>
      </c>
      <c r="D5" s="9"/>
      <c r="E5" s="7">
        <v>1082214.45</v>
      </c>
      <c r="G5" s="10">
        <v>1160085.3</v>
      </c>
    </row>
    <row r="6" spans="1:8" ht="18" customHeight="1" x14ac:dyDescent="0.35">
      <c r="A6" s="5" t="s">
        <v>17</v>
      </c>
      <c r="B6" s="6" t="s">
        <v>18</v>
      </c>
      <c r="C6" s="7">
        <v>1082214.45</v>
      </c>
      <c r="D6" s="6"/>
      <c r="F6" s="10">
        <v>1082214.45</v>
      </c>
      <c r="H6" s="6"/>
    </row>
    <row r="7" spans="1:8" ht="18" customHeight="1" x14ac:dyDescent="0.35">
      <c r="A7" s="2" t="s">
        <v>57</v>
      </c>
      <c r="B7" s="3" t="s">
        <v>58</v>
      </c>
      <c r="C7" s="4">
        <f>SUM(C8:C11)</f>
        <v>110213.05</v>
      </c>
      <c r="D7" s="4">
        <f t="shared" ref="D7:H7" si="1">SUM(D8:D11)</f>
        <v>15423.91</v>
      </c>
      <c r="E7" s="4">
        <f t="shared" si="1"/>
        <v>0</v>
      </c>
      <c r="F7" s="4">
        <f t="shared" si="1"/>
        <v>92737.7</v>
      </c>
      <c r="G7" s="4">
        <f t="shared" si="1"/>
        <v>110213.05</v>
      </c>
      <c r="H7" s="4">
        <f t="shared" si="1"/>
        <v>108161.61</v>
      </c>
    </row>
    <row r="8" spans="1:8" ht="18" customHeight="1" x14ac:dyDescent="0.35">
      <c r="A8" s="5" t="s">
        <v>59</v>
      </c>
      <c r="B8" s="6" t="s">
        <v>60</v>
      </c>
      <c r="C8" s="7">
        <v>106794</v>
      </c>
      <c r="D8" s="6"/>
      <c r="E8" s="6"/>
      <c r="F8" s="6"/>
      <c r="G8" s="7">
        <v>106794</v>
      </c>
      <c r="H8" s="6"/>
    </row>
    <row r="9" spans="1:8" ht="18" customHeight="1" x14ac:dyDescent="0.35">
      <c r="A9" s="8" t="s">
        <v>61</v>
      </c>
      <c r="B9" s="9" t="s">
        <v>62</v>
      </c>
      <c r="C9" s="10">
        <v>3419.05</v>
      </c>
      <c r="D9" s="9"/>
      <c r="E9" s="9"/>
      <c r="F9" s="9"/>
      <c r="G9" s="10">
        <v>3419.05</v>
      </c>
      <c r="H9" s="9"/>
    </row>
    <row r="10" spans="1:8" ht="18" customHeight="1" x14ac:dyDescent="0.35">
      <c r="A10" s="5" t="s">
        <v>63</v>
      </c>
      <c r="B10" s="6" t="s">
        <v>64</v>
      </c>
      <c r="C10" s="6"/>
      <c r="D10" s="7">
        <v>14398.2</v>
      </c>
      <c r="E10" s="6"/>
      <c r="F10" s="7">
        <v>92395.8</v>
      </c>
      <c r="G10" s="6"/>
      <c r="H10" s="7">
        <v>106794</v>
      </c>
    </row>
    <row r="11" spans="1:8" ht="18" customHeight="1" x14ac:dyDescent="0.35">
      <c r="A11" s="8" t="s">
        <v>65</v>
      </c>
      <c r="B11" s="9" t="s">
        <v>66</v>
      </c>
      <c r="C11" s="9"/>
      <c r="D11" s="10">
        <v>1025.71</v>
      </c>
      <c r="E11" s="9"/>
      <c r="F11" s="10">
        <v>341.9</v>
      </c>
      <c r="G11" s="9"/>
      <c r="H11" s="10">
        <v>1367.61</v>
      </c>
    </row>
    <row r="12" spans="1:8" ht="18" customHeight="1" x14ac:dyDescent="0.35">
      <c r="A12" s="2" t="s">
        <v>19</v>
      </c>
      <c r="B12" s="3" t="s">
        <v>20</v>
      </c>
      <c r="C12" s="4">
        <f>SUM(C13:C16)</f>
        <v>127772293.40000001</v>
      </c>
      <c r="D12" s="4">
        <f t="shared" ref="D12:H12" si="2">SUM(D13:D16)</f>
        <v>0</v>
      </c>
      <c r="E12" s="4">
        <f t="shared" si="2"/>
        <v>24173138.440000001</v>
      </c>
      <c r="F12" s="4">
        <f t="shared" si="2"/>
        <v>14376950</v>
      </c>
      <c r="G12" s="4">
        <f t="shared" si="2"/>
        <v>137568481.84</v>
      </c>
      <c r="H12" s="4">
        <f t="shared" si="2"/>
        <v>0</v>
      </c>
    </row>
    <row r="13" spans="1:8" ht="18" customHeight="1" x14ac:dyDescent="0.35">
      <c r="A13" s="8" t="s">
        <v>67</v>
      </c>
      <c r="B13" s="9" t="s">
        <v>68</v>
      </c>
      <c r="C13" s="10">
        <v>95352293.400000006</v>
      </c>
      <c r="D13" s="9"/>
      <c r="E13" s="10">
        <v>23373138.440000001</v>
      </c>
      <c r="F13" s="9"/>
      <c r="G13" s="10">
        <v>118725431.84</v>
      </c>
      <c r="H13" s="9"/>
    </row>
    <row r="14" spans="1:8" ht="18" customHeight="1" x14ac:dyDescent="0.35">
      <c r="A14" s="5" t="s">
        <v>167</v>
      </c>
      <c r="B14" s="6" t="s">
        <v>168</v>
      </c>
      <c r="C14" s="7">
        <v>18043050</v>
      </c>
      <c r="D14" s="6"/>
      <c r="E14" s="6"/>
      <c r="F14" s="6"/>
      <c r="G14" s="7">
        <v>18043050</v>
      </c>
      <c r="H14" s="6"/>
    </row>
    <row r="15" spans="1:8" ht="18" customHeight="1" x14ac:dyDescent="0.35">
      <c r="A15" s="8" t="s">
        <v>23</v>
      </c>
      <c r="B15" s="9" t="s">
        <v>24</v>
      </c>
      <c r="C15" s="9"/>
      <c r="D15" s="9"/>
      <c r="E15" s="10">
        <v>800000</v>
      </c>
      <c r="F15" s="9"/>
      <c r="G15" s="10">
        <v>800000</v>
      </c>
      <c r="H15" s="9"/>
    </row>
    <row r="16" spans="1:8" ht="18" customHeight="1" x14ac:dyDescent="0.35">
      <c r="A16" s="5" t="s">
        <v>169</v>
      </c>
      <c r="B16" s="6" t="s">
        <v>170</v>
      </c>
      <c r="C16" s="7">
        <v>14376950</v>
      </c>
      <c r="D16" s="6"/>
      <c r="E16" s="6"/>
      <c r="F16" s="7">
        <v>14376950</v>
      </c>
      <c r="G16" s="6"/>
      <c r="H16" s="6"/>
    </row>
    <row r="17" spans="1:8" ht="18" customHeight="1" x14ac:dyDescent="0.35">
      <c r="A17" s="2" t="s">
        <v>25</v>
      </c>
      <c r="B17" s="3" t="s">
        <v>26</v>
      </c>
      <c r="C17" s="3">
        <f>SUM(C18:C34)</f>
        <v>0</v>
      </c>
      <c r="D17" s="3">
        <f t="shared" ref="D17:H17" si="3">SUM(D18:D34)</f>
        <v>221182.16</v>
      </c>
      <c r="E17" s="3">
        <f t="shared" si="3"/>
        <v>21445069.410000004</v>
      </c>
      <c r="F17" s="3">
        <f t="shared" si="3"/>
        <v>23325889.829999998</v>
      </c>
      <c r="G17" s="3">
        <f t="shared" si="3"/>
        <v>0</v>
      </c>
      <c r="H17" s="3">
        <f t="shared" si="3"/>
        <v>2102002.58</v>
      </c>
    </row>
    <row r="18" spans="1:8" ht="18" customHeight="1" x14ac:dyDescent="0.35">
      <c r="A18" s="5" t="s">
        <v>190</v>
      </c>
      <c r="B18" s="6" t="s">
        <v>191</v>
      </c>
      <c r="C18" s="6"/>
      <c r="D18" s="6"/>
      <c r="E18" s="7">
        <v>13200</v>
      </c>
      <c r="F18" s="7">
        <v>13200</v>
      </c>
      <c r="G18" s="6"/>
      <c r="H18" s="6"/>
    </row>
    <row r="19" spans="1:8" ht="18" customHeight="1" x14ac:dyDescent="0.35">
      <c r="A19" s="8" t="s">
        <v>192</v>
      </c>
      <c r="B19" s="9" t="s">
        <v>193</v>
      </c>
      <c r="C19" s="9"/>
      <c r="D19" s="9"/>
      <c r="E19" s="10">
        <v>209802.12</v>
      </c>
      <c r="F19" s="10">
        <v>209802.12</v>
      </c>
      <c r="G19" s="9"/>
      <c r="H19" s="9"/>
    </row>
    <row r="20" spans="1:8" ht="18" customHeight="1" x14ac:dyDescent="0.35">
      <c r="A20" s="5" t="s">
        <v>194</v>
      </c>
      <c r="B20" s="6" t="s">
        <v>195</v>
      </c>
      <c r="C20" s="6"/>
      <c r="D20" s="6"/>
      <c r="E20" s="7">
        <v>40000</v>
      </c>
      <c r="F20" s="7">
        <v>40000</v>
      </c>
      <c r="G20" s="6"/>
      <c r="H20" s="6"/>
    </row>
    <row r="21" spans="1:8" ht="18" customHeight="1" x14ac:dyDescent="0.35">
      <c r="A21" s="8" t="s">
        <v>196</v>
      </c>
      <c r="B21" s="9" t="s">
        <v>197</v>
      </c>
      <c r="C21" s="9"/>
      <c r="D21" s="9"/>
      <c r="E21" s="10">
        <v>1000</v>
      </c>
      <c r="F21" s="10">
        <v>1000</v>
      </c>
      <c r="G21" s="9"/>
      <c r="H21" s="9"/>
    </row>
    <row r="22" spans="1:8" ht="18" customHeight="1" x14ac:dyDescent="0.35">
      <c r="A22" s="5" t="s">
        <v>171</v>
      </c>
      <c r="B22" s="6" t="s">
        <v>172</v>
      </c>
      <c r="C22" s="6"/>
      <c r="D22" s="7">
        <v>192286.66</v>
      </c>
      <c r="E22" s="7">
        <v>360706.85</v>
      </c>
      <c r="F22" s="7">
        <v>287257.87</v>
      </c>
      <c r="G22" s="6"/>
      <c r="H22" s="7">
        <v>118837.68</v>
      </c>
    </row>
    <row r="23" spans="1:8" ht="18" customHeight="1" x14ac:dyDescent="0.35">
      <c r="A23" s="8" t="s">
        <v>78</v>
      </c>
      <c r="B23" s="9" t="s">
        <v>79</v>
      </c>
      <c r="C23" s="9"/>
      <c r="D23" s="9"/>
      <c r="E23" s="10">
        <v>16685151.76</v>
      </c>
      <c r="F23" s="10">
        <v>17213604.18</v>
      </c>
      <c r="G23" s="9"/>
      <c r="H23" s="10">
        <v>528452.42000000004</v>
      </c>
    </row>
    <row r="24" spans="1:8" ht="18" customHeight="1" x14ac:dyDescent="0.35">
      <c r="A24" s="5" t="s">
        <v>173</v>
      </c>
      <c r="B24" s="6" t="s">
        <v>174</v>
      </c>
      <c r="C24" s="6"/>
      <c r="D24" s="7">
        <v>27000</v>
      </c>
      <c r="E24" s="7">
        <v>143157.6</v>
      </c>
      <c r="F24" s="7">
        <v>116157.6</v>
      </c>
      <c r="G24" s="6"/>
      <c r="H24" s="6"/>
    </row>
    <row r="25" spans="1:8" ht="18" customHeight="1" x14ac:dyDescent="0.35">
      <c r="A25" s="8" t="s">
        <v>82</v>
      </c>
      <c r="B25" s="9" t="s">
        <v>83</v>
      </c>
      <c r="C25" s="9"/>
      <c r="D25" s="9"/>
      <c r="E25" s="10">
        <v>410000</v>
      </c>
      <c r="F25" s="10">
        <v>410000</v>
      </c>
      <c r="G25" s="9"/>
      <c r="H25" s="9"/>
    </row>
    <row r="26" spans="1:8" ht="18" customHeight="1" x14ac:dyDescent="0.35">
      <c r="A26" s="5" t="s">
        <v>86</v>
      </c>
      <c r="B26" s="6" t="s">
        <v>87</v>
      </c>
      <c r="C26" s="6"/>
      <c r="D26" s="6"/>
      <c r="E26" s="7">
        <v>1471910.52</v>
      </c>
      <c r="F26" s="7">
        <v>1672435.5</v>
      </c>
      <c r="G26" s="6"/>
      <c r="H26" s="7">
        <v>200524.98</v>
      </c>
    </row>
    <row r="27" spans="1:8" ht="18" customHeight="1" x14ac:dyDescent="0.35">
      <c r="A27" s="8" t="s">
        <v>29</v>
      </c>
      <c r="B27" s="9" t="s">
        <v>30</v>
      </c>
      <c r="C27" s="9"/>
      <c r="D27" s="10">
        <v>1895.5</v>
      </c>
      <c r="E27" s="9"/>
      <c r="F27" s="9"/>
      <c r="G27" s="9"/>
      <c r="H27" s="10">
        <v>1895.5</v>
      </c>
    </row>
    <row r="28" spans="1:8" ht="18" customHeight="1" x14ac:dyDescent="0.35">
      <c r="A28" s="5" t="s">
        <v>149</v>
      </c>
      <c r="B28" s="6" t="s">
        <v>150</v>
      </c>
      <c r="C28" s="6"/>
      <c r="D28" s="6"/>
      <c r="E28" s="7">
        <v>40000</v>
      </c>
      <c r="F28" s="7">
        <v>40000</v>
      </c>
      <c r="G28" s="6"/>
      <c r="H28" s="6"/>
    </row>
    <row r="29" spans="1:8" ht="18" customHeight="1" x14ac:dyDescent="0.35">
      <c r="A29" s="8" t="s">
        <v>92</v>
      </c>
      <c r="B29" s="9" t="s">
        <v>93</v>
      </c>
      <c r="C29" s="9"/>
      <c r="D29" s="9"/>
      <c r="E29" s="10">
        <v>298.79000000000002</v>
      </c>
      <c r="F29" s="10">
        <v>298.79000000000002</v>
      </c>
      <c r="G29" s="9"/>
      <c r="H29" s="9"/>
    </row>
    <row r="30" spans="1:8" ht="18" customHeight="1" x14ac:dyDescent="0.35">
      <c r="A30" s="5" t="s">
        <v>151</v>
      </c>
      <c r="B30" s="6" t="s">
        <v>152</v>
      </c>
      <c r="C30" s="6"/>
      <c r="D30" s="6"/>
      <c r="E30" s="7">
        <v>180840</v>
      </c>
      <c r="F30" s="7">
        <v>180840</v>
      </c>
      <c r="G30" s="6"/>
      <c r="H30" s="6"/>
    </row>
    <row r="31" spans="1:8" ht="18" customHeight="1" x14ac:dyDescent="0.35">
      <c r="A31" s="8" t="s">
        <v>179</v>
      </c>
      <c r="B31" s="9" t="s">
        <v>180</v>
      </c>
      <c r="C31" s="9"/>
      <c r="D31" s="9"/>
      <c r="E31" s="10">
        <v>1885788.17</v>
      </c>
      <c r="F31" s="10">
        <v>1885788.17</v>
      </c>
      <c r="G31" s="9"/>
      <c r="H31" s="9"/>
    </row>
    <row r="32" spans="1:8" ht="18" customHeight="1" x14ac:dyDescent="0.35">
      <c r="A32" s="5" t="s">
        <v>102</v>
      </c>
      <c r="B32" s="6" t="s">
        <v>157</v>
      </c>
      <c r="C32" s="6"/>
      <c r="D32" s="6"/>
      <c r="E32" s="7">
        <v>3213.6</v>
      </c>
      <c r="F32" s="7">
        <v>3213.6</v>
      </c>
      <c r="G32" s="6"/>
      <c r="H32" s="6"/>
    </row>
    <row r="33" spans="1:8" ht="18" customHeight="1" x14ac:dyDescent="0.35">
      <c r="A33" s="8" t="s">
        <v>198</v>
      </c>
      <c r="B33" s="9" t="s">
        <v>199</v>
      </c>
      <c r="C33" s="9"/>
      <c r="D33" s="9"/>
      <c r="E33" s="9"/>
      <c r="F33" s="10">
        <v>65760</v>
      </c>
      <c r="G33" s="9"/>
      <c r="H33" s="10">
        <v>65760</v>
      </c>
    </row>
    <row r="34" spans="1:8" ht="18" customHeight="1" x14ac:dyDescent="0.35">
      <c r="A34" s="5" t="s">
        <v>200</v>
      </c>
      <c r="B34" s="6" t="s">
        <v>201</v>
      </c>
      <c r="C34" s="6"/>
      <c r="D34" s="6"/>
      <c r="E34" s="6"/>
      <c r="F34" s="7">
        <v>1186532</v>
      </c>
      <c r="G34" s="6"/>
      <c r="H34" s="7">
        <v>1186532</v>
      </c>
    </row>
    <row r="35" spans="1:8" ht="18" customHeight="1" x14ac:dyDescent="0.35">
      <c r="A35" s="2" t="s">
        <v>33</v>
      </c>
      <c r="B35" s="3" t="s">
        <v>34</v>
      </c>
      <c r="C35" s="4">
        <f>SUM(C36:C41)</f>
        <v>4798703.7799999993</v>
      </c>
      <c r="D35" s="4">
        <f t="shared" ref="D35:H35" si="4">SUM(D36:D41)</f>
        <v>0</v>
      </c>
      <c r="E35" s="4">
        <f t="shared" si="4"/>
        <v>23648586.390000001</v>
      </c>
      <c r="F35" s="4">
        <f t="shared" si="4"/>
        <v>26955073.800000001</v>
      </c>
      <c r="G35" s="4">
        <f t="shared" si="4"/>
        <v>1492216.37</v>
      </c>
      <c r="H35" s="4">
        <f t="shared" si="4"/>
        <v>0</v>
      </c>
    </row>
    <row r="36" spans="1:8" ht="18" customHeight="1" x14ac:dyDescent="0.35">
      <c r="A36" s="5" t="s">
        <v>106</v>
      </c>
      <c r="B36" s="6" t="s">
        <v>107</v>
      </c>
      <c r="C36" s="6"/>
      <c r="D36" s="6"/>
      <c r="E36" s="7">
        <v>1252000</v>
      </c>
      <c r="F36" s="7">
        <v>1252000</v>
      </c>
      <c r="G36" s="6"/>
      <c r="H36" s="6"/>
    </row>
    <row r="37" spans="1:8" ht="18" customHeight="1" x14ac:dyDescent="0.35">
      <c r="A37" s="8" t="s">
        <v>35</v>
      </c>
      <c r="B37" s="9" t="s">
        <v>36</v>
      </c>
      <c r="C37" s="10">
        <v>3116.4</v>
      </c>
      <c r="D37" s="9"/>
      <c r="E37" s="9"/>
      <c r="F37" s="10">
        <v>286</v>
      </c>
      <c r="G37" s="10">
        <v>2830.4</v>
      </c>
      <c r="H37" s="9"/>
    </row>
    <row r="38" spans="1:8" ht="18" customHeight="1" x14ac:dyDescent="0.35">
      <c r="A38" s="5" t="s">
        <v>37</v>
      </c>
      <c r="B38" s="6" t="s">
        <v>38</v>
      </c>
      <c r="C38" s="7">
        <v>296468.32</v>
      </c>
      <c r="D38" s="6"/>
      <c r="E38" s="7">
        <v>15000</v>
      </c>
      <c r="F38" s="7">
        <v>200346.5</v>
      </c>
      <c r="G38" s="7">
        <v>111121.82</v>
      </c>
      <c r="H38" s="6"/>
    </row>
    <row r="39" spans="1:8" ht="18" customHeight="1" x14ac:dyDescent="0.35">
      <c r="A39" s="8" t="s">
        <v>39</v>
      </c>
      <c r="B39" s="9" t="s">
        <v>40</v>
      </c>
      <c r="C39" s="10">
        <v>3695976.55</v>
      </c>
      <c r="D39" s="9"/>
      <c r="E39" s="10">
        <v>18147586.390000001</v>
      </c>
      <c r="F39" s="10">
        <v>21436918.030000001</v>
      </c>
      <c r="G39" s="10">
        <v>406644.91</v>
      </c>
      <c r="H39" s="9"/>
    </row>
    <row r="40" spans="1:8" ht="18" customHeight="1" x14ac:dyDescent="0.35">
      <c r="A40" s="5" t="s">
        <v>183</v>
      </c>
      <c r="B40" s="6" t="s">
        <v>184</v>
      </c>
      <c r="C40" s="7">
        <v>799893.5</v>
      </c>
      <c r="D40" s="6"/>
      <c r="E40" s="7">
        <v>4229000</v>
      </c>
      <c r="F40" s="7">
        <v>4061010.88</v>
      </c>
      <c r="G40" s="7">
        <v>967882.62</v>
      </c>
      <c r="H40" s="6"/>
    </row>
    <row r="41" spans="1:8" ht="18" customHeight="1" x14ac:dyDescent="0.35">
      <c r="A41" s="8" t="s">
        <v>108</v>
      </c>
      <c r="B41" s="9" t="s">
        <v>109</v>
      </c>
      <c r="C41" s="10">
        <v>3249.01</v>
      </c>
      <c r="D41" s="9"/>
      <c r="E41" s="10">
        <v>5000</v>
      </c>
      <c r="F41" s="10">
        <v>4512.3900000000003</v>
      </c>
      <c r="G41" s="10">
        <v>3736.62</v>
      </c>
      <c r="H41" s="9"/>
    </row>
    <row r="42" spans="1:8" ht="18" customHeight="1" x14ac:dyDescent="0.35">
      <c r="A42" s="2" t="s">
        <v>41</v>
      </c>
      <c r="B42" s="3" t="s">
        <v>42</v>
      </c>
      <c r="C42" s="3">
        <f>SUM(C43:C52)</f>
        <v>0</v>
      </c>
      <c r="D42" s="3">
        <f t="shared" ref="D42:H42" si="5">SUM(D43:D52)</f>
        <v>0</v>
      </c>
      <c r="E42" s="3">
        <f t="shared" si="5"/>
        <v>23471071.920000002</v>
      </c>
      <c r="F42" s="3">
        <f t="shared" si="5"/>
        <v>0</v>
      </c>
      <c r="G42" s="3">
        <f t="shared" si="5"/>
        <v>23471071.920000002</v>
      </c>
      <c r="H42" s="3">
        <f t="shared" si="5"/>
        <v>0</v>
      </c>
    </row>
    <row r="43" spans="1:8" ht="18" customHeight="1" x14ac:dyDescent="0.35">
      <c r="A43" s="8" t="s">
        <v>114</v>
      </c>
      <c r="B43" s="9" t="s">
        <v>115</v>
      </c>
      <c r="C43" s="9"/>
      <c r="D43" s="9"/>
      <c r="E43" s="10">
        <v>298.79000000000002</v>
      </c>
      <c r="F43" s="9"/>
      <c r="G43" s="10">
        <v>298.79000000000002</v>
      </c>
      <c r="H43" s="9"/>
    </row>
    <row r="44" spans="1:8" ht="18" customHeight="1" x14ac:dyDescent="0.35">
      <c r="A44" s="5" t="s">
        <v>118</v>
      </c>
      <c r="B44" s="6" t="s">
        <v>119</v>
      </c>
      <c r="C44" s="6"/>
      <c r="D44" s="6"/>
      <c r="E44" s="7">
        <v>21500125.440000001</v>
      </c>
      <c r="F44" s="6"/>
      <c r="G44" s="7">
        <v>21500125.440000001</v>
      </c>
      <c r="H44" s="6"/>
    </row>
    <row r="45" spans="1:8" ht="18" customHeight="1" x14ac:dyDescent="0.35">
      <c r="A45" s="8" t="s">
        <v>120</v>
      </c>
      <c r="B45" s="9" t="s">
        <v>121</v>
      </c>
      <c r="C45" s="9"/>
      <c r="D45" s="9"/>
      <c r="E45" s="10">
        <v>40000</v>
      </c>
      <c r="F45" s="9"/>
      <c r="G45" s="10">
        <v>40000</v>
      </c>
      <c r="H45" s="9"/>
    </row>
    <row r="46" spans="1:8" ht="18" customHeight="1" x14ac:dyDescent="0.35">
      <c r="A46" s="5" t="s">
        <v>122</v>
      </c>
      <c r="B46" s="6" t="s">
        <v>123</v>
      </c>
      <c r="C46" s="6"/>
      <c r="D46" s="6"/>
      <c r="E46" s="7">
        <v>131520</v>
      </c>
      <c r="F46" s="6"/>
      <c r="G46" s="7">
        <v>131520</v>
      </c>
      <c r="H46" s="6"/>
    </row>
    <row r="47" spans="1:8" ht="18" customHeight="1" x14ac:dyDescent="0.35">
      <c r="A47" s="8" t="s">
        <v>185</v>
      </c>
      <c r="B47" s="9" t="s">
        <v>186</v>
      </c>
      <c r="C47" s="9"/>
      <c r="D47" s="9"/>
      <c r="E47" s="10">
        <v>463200</v>
      </c>
      <c r="F47" s="9"/>
      <c r="G47" s="10">
        <v>463200</v>
      </c>
      <c r="H47" s="9"/>
    </row>
    <row r="48" spans="1:8" ht="18" customHeight="1" x14ac:dyDescent="0.35">
      <c r="A48" s="5" t="s">
        <v>132</v>
      </c>
      <c r="B48" s="6" t="s">
        <v>133</v>
      </c>
      <c r="C48" s="6"/>
      <c r="D48" s="6"/>
      <c r="E48" s="7">
        <v>3213.6</v>
      </c>
      <c r="F48" s="6"/>
      <c r="G48" s="7">
        <v>3213.6</v>
      </c>
      <c r="H48" s="6"/>
    </row>
    <row r="49" spans="1:8" ht="18" customHeight="1" x14ac:dyDescent="0.35">
      <c r="A49" s="8" t="s">
        <v>45</v>
      </c>
      <c r="B49" s="9" t="s">
        <v>46</v>
      </c>
      <c r="C49" s="9"/>
      <c r="D49" s="9"/>
      <c r="E49" s="10">
        <v>1630.39</v>
      </c>
      <c r="F49" s="9"/>
      <c r="G49" s="10">
        <v>1630.39</v>
      </c>
      <c r="H49" s="9"/>
    </row>
    <row r="50" spans="1:8" ht="18" customHeight="1" x14ac:dyDescent="0.35">
      <c r="A50" s="5" t="s">
        <v>140</v>
      </c>
      <c r="B50" s="6" t="s">
        <v>141</v>
      </c>
      <c r="C50" s="6"/>
      <c r="D50" s="6"/>
      <c r="E50" s="7">
        <v>53</v>
      </c>
      <c r="F50" s="6"/>
      <c r="G50" s="7">
        <v>53</v>
      </c>
      <c r="H50" s="6"/>
    </row>
    <row r="51" spans="1:8" ht="18" customHeight="1" x14ac:dyDescent="0.35">
      <c r="A51" s="8" t="s">
        <v>202</v>
      </c>
      <c r="B51" s="9" t="s">
        <v>203</v>
      </c>
      <c r="C51" s="9"/>
      <c r="D51" s="9"/>
      <c r="E51" s="10">
        <v>1238293</v>
      </c>
      <c r="F51" s="9"/>
      <c r="G51" s="10">
        <v>1238293</v>
      </c>
      <c r="H51" s="9"/>
    </row>
    <row r="52" spans="1:8" ht="18" customHeight="1" x14ac:dyDescent="0.35">
      <c r="A52" s="5" t="s">
        <v>142</v>
      </c>
      <c r="B52" s="6" t="s">
        <v>143</v>
      </c>
      <c r="C52" s="6"/>
      <c r="D52" s="6"/>
      <c r="E52" s="7">
        <v>92737.7</v>
      </c>
      <c r="F52" s="6"/>
      <c r="G52" s="7">
        <v>92737.7</v>
      </c>
      <c r="H52" s="6"/>
    </row>
    <row r="53" spans="1:8" ht="18" customHeight="1" x14ac:dyDescent="0.35">
      <c r="A53" s="2" t="s">
        <v>49</v>
      </c>
      <c r="B53" s="3" t="s">
        <v>50</v>
      </c>
      <c r="C53" s="3">
        <f>SUM(C54:C55)</f>
        <v>0</v>
      </c>
      <c r="D53" s="3">
        <f t="shared" ref="D53:H53" si="6">SUM(D54:D55)</f>
        <v>0</v>
      </c>
      <c r="E53" s="3">
        <f t="shared" si="6"/>
        <v>0</v>
      </c>
      <c r="F53" s="3">
        <f t="shared" si="6"/>
        <v>23389578.440000001</v>
      </c>
      <c r="G53" s="3">
        <f t="shared" si="6"/>
        <v>0</v>
      </c>
      <c r="H53" s="3">
        <f t="shared" si="6"/>
        <v>23389578.440000001</v>
      </c>
    </row>
    <row r="54" spans="1:8" ht="18" customHeight="1" x14ac:dyDescent="0.35">
      <c r="A54" s="5" t="s">
        <v>144</v>
      </c>
      <c r="B54" s="6" t="s">
        <v>145</v>
      </c>
      <c r="C54" s="6"/>
      <c r="D54" s="6"/>
      <c r="E54" s="6"/>
      <c r="F54" s="7">
        <v>23373138.440000001</v>
      </c>
      <c r="G54" s="6"/>
      <c r="H54" s="7">
        <v>23373138.440000001</v>
      </c>
    </row>
    <row r="55" spans="1:8" ht="18" customHeight="1" x14ac:dyDescent="0.35">
      <c r="A55" s="8" t="s">
        <v>204</v>
      </c>
      <c r="B55" s="9" t="s">
        <v>205</v>
      </c>
      <c r="C55" s="9"/>
      <c r="D55" s="9"/>
      <c r="E55" s="9"/>
      <c r="F55" s="10">
        <v>16440</v>
      </c>
      <c r="G55" s="9"/>
      <c r="H55" s="10">
        <v>16440</v>
      </c>
    </row>
    <row r="56" spans="1:8" ht="18" customHeight="1" x14ac:dyDescent="0.35">
      <c r="A56" s="11"/>
      <c r="B56" s="12" t="s">
        <v>55</v>
      </c>
      <c r="C56" s="13">
        <f>C3+C7+C12+C17+C35+C42+C53</f>
        <v>133841295.53</v>
      </c>
      <c r="D56" s="13">
        <f>D3+D7+D12+D17+D35+D42+D53</f>
        <v>133841295.52999999</v>
      </c>
      <c r="E56" s="13">
        <f t="shared" ref="E56:H56" si="7">E3+E7+E12+E17+E35+E42+E53</f>
        <v>110412030.61</v>
      </c>
      <c r="F56" s="13">
        <f t="shared" si="7"/>
        <v>110412030.61</v>
      </c>
      <c r="G56" s="13">
        <f t="shared" si="7"/>
        <v>163802068.48000002</v>
      </c>
      <c r="H56" s="13">
        <f t="shared" si="7"/>
        <v>163802068.48000002</v>
      </c>
    </row>
    <row r="57" spans="1:8" x14ac:dyDescent="0.35">
      <c r="C57" t="s">
        <v>207</v>
      </c>
      <c r="D57">
        <f>F53-E42</f>
        <v>-81493.480000000447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2018</vt:lpstr>
      <vt:lpstr>2019</vt:lpstr>
      <vt:lpstr>2020</vt:lpstr>
      <vt:lpstr>2021</vt:lpstr>
      <vt:lpstr>2022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2026-05-24T23:14:03Z</dcterms:created>
  <dcterms:modified xsi:type="dcterms:W3CDTF">2026-05-25T01:08:57Z</dcterms:modified>
</cp:coreProperties>
</file>